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55376ba5efc150d/Asztali gép/"/>
    </mc:Choice>
  </mc:AlternateContent>
  <xr:revisionPtr revIDLastSave="195" documentId="13_ncr:1_{4AD440F7-9E47-4083-BE69-5404BFBA15E4}" xr6:coauthVersionLast="47" xr6:coauthVersionMax="47" xr10:uidLastSave="{A0DEBE05-5C3D-45E9-A248-7610AE6091B7}"/>
  <bookViews>
    <workbookView xWindow="-120" yWindow="-120" windowWidth="38640" windowHeight="15720" xr2:uid="{00000000-000D-0000-FFFF-FFFF00000000}"/>
  </bookViews>
  <sheets>
    <sheet name="Ad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2" i="1" l="1"/>
  <c r="I262" i="1"/>
  <c r="J262" i="1" s="1"/>
  <c r="D262" i="1"/>
  <c r="F261" i="1"/>
  <c r="I261" i="1"/>
  <c r="J261" i="1" s="1"/>
  <c r="D261" i="1"/>
  <c r="F260" i="1"/>
  <c r="I260" i="1"/>
  <c r="J260" i="1"/>
  <c r="D260" i="1"/>
  <c r="F259" i="1"/>
  <c r="I259" i="1"/>
  <c r="J259" i="1" s="1"/>
  <c r="D259" i="1"/>
  <c r="F258" i="1"/>
  <c r="I258" i="1"/>
  <c r="J258" i="1"/>
  <c r="D258" i="1"/>
  <c r="F257" i="1"/>
  <c r="I257" i="1"/>
  <c r="J257" i="1" s="1"/>
  <c r="D257" i="1"/>
  <c r="F256" i="1"/>
  <c r="I256" i="1"/>
  <c r="J256" i="1" s="1"/>
  <c r="D256" i="1"/>
  <c r="F255" i="1"/>
  <c r="I255" i="1"/>
  <c r="J255" i="1" s="1"/>
  <c r="D25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3" i="1"/>
  <c r="F254" i="1"/>
  <c r="I254" i="1"/>
  <c r="D254" i="1"/>
  <c r="F253" i="1"/>
  <c r="I253" i="1"/>
  <c r="D253" i="1"/>
  <c r="F252" i="1"/>
  <c r="I252" i="1"/>
  <c r="D252" i="1"/>
  <c r="F251" i="1"/>
  <c r="I251" i="1"/>
  <c r="D251" i="1"/>
  <c r="F250" i="1"/>
  <c r="I250" i="1"/>
  <c r="D250" i="1"/>
  <c r="F249" i="1"/>
  <c r="I249" i="1"/>
  <c r="D249" i="1"/>
  <c r="I248" i="1"/>
  <c r="F248" i="1"/>
  <c r="D248" i="1"/>
  <c r="F247" i="1"/>
  <c r="I247" i="1"/>
  <c r="D247" i="1"/>
  <c r="F246" i="1"/>
  <c r="I246" i="1"/>
  <c r="D246" i="1"/>
  <c r="F245" i="1"/>
  <c r="I245" i="1"/>
  <c r="D245" i="1"/>
  <c r="F244" i="1"/>
  <c r="I244" i="1"/>
  <c r="D244" i="1"/>
  <c r="F243" i="1"/>
  <c r="I243" i="1"/>
  <c r="D243" i="1"/>
  <c r="F242" i="1"/>
  <c r="I242" i="1"/>
  <c r="D242" i="1"/>
  <c r="F241" i="1"/>
  <c r="I241" i="1"/>
  <c r="D241" i="1"/>
  <c r="F240" i="1"/>
  <c r="I240" i="1"/>
  <c r="D240" i="1"/>
  <c r="F239" i="1"/>
  <c r="I239" i="1"/>
  <c r="D239" i="1"/>
  <c r="F238" i="1"/>
  <c r="I238" i="1"/>
  <c r="D238" i="1"/>
  <c r="F237" i="1"/>
  <c r="I237" i="1"/>
  <c r="D237" i="1"/>
  <c r="F236" i="1"/>
  <c r="I236" i="1"/>
  <c r="D236" i="1"/>
  <c r="F235" i="1"/>
  <c r="I235" i="1"/>
  <c r="D235" i="1"/>
  <c r="F234" i="1"/>
  <c r="I234" i="1"/>
  <c r="D234" i="1"/>
  <c r="F233" i="1"/>
  <c r="I233" i="1"/>
  <c r="D233" i="1"/>
  <c r="F232" i="1"/>
  <c r="I232" i="1"/>
  <c r="D232" i="1"/>
  <c r="F231" i="1"/>
  <c r="I231" i="1"/>
  <c r="D231" i="1"/>
  <c r="F230" i="1"/>
  <c r="I230" i="1"/>
  <c r="D230" i="1"/>
  <c r="F229" i="1"/>
  <c r="I229" i="1" s="1"/>
  <c r="D229" i="1"/>
  <c r="F228" i="1"/>
  <c r="I228" i="1"/>
  <c r="D228" i="1"/>
  <c r="F227" i="1"/>
  <c r="I227" i="1"/>
  <c r="D227" i="1"/>
  <c r="F226" i="1"/>
  <c r="I226" i="1" s="1"/>
  <c r="D226" i="1"/>
  <c r="F225" i="1"/>
  <c r="I225" i="1"/>
  <c r="D225" i="1"/>
  <c r="F224" i="1"/>
  <c r="I224" i="1"/>
  <c r="D224" i="1"/>
  <c r="F223" i="1"/>
  <c r="I223" i="1"/>
  <c r="D223" i="1"/>
  <c r="F222" i="1"/>
  <c r="I222" i="1"/>
  <c r="D222" i="1"/>
  <c r="F221" i="1"/>
  <c r="I221" i="1"/>
  <c r="D221" i="1"/>
  <c r="F220" i="1"/>
  <c r="I220" i="1"/>
  <c r="D220" i="1"/>
  <c r="F219" i="1"/>
  <c r="I219" i="1"/>
  <c r="D219" i="1"/>
  <c r="F218" i="1"/>
  <c r="I218" i="1"/>
  <c r="D218" i="1"/>
  <c r="F217" i="1"/>
  <c r="I217" i="1" s="1"/>
  <c r="D217" i="1"/>
  <c r="F216" i="1"/>
  <c r="I216" i="1"/>
  <c r="D216" i="1"/>
  <c r="F215" i="1"/>
  <c r="I215" i="1"/>
  <c r="D215" i="1"/>
  <c r="F214" i="1"/>
  <c r="I214" i="1"/>
  <c r="D214" i="1"/>
  <c r="F213" i="1"/>
  <c r="I213" i="1"/>
  <c r="D213" i="1"/>
  <c r="F212" i="1"/>
  <c r="I212" i="1" s="1"/>
  <c r="D212" i="1"/>
  <c r="F211" i="1"/>
  <c r="D211" i="1"/>
  <c r="I211" i="1" s="1"/>
  <c r="F210" i="1" l="1"/>
  <c r="D210" i="1"/>
  <c r="I210" i="1" s="1"/>
  <c r="F209" i="1" l="1"/>
  <c r="D209" i="1"/>
  <c r="I209" i="1" s="1"/>
  <c r="F208" i="1" l="1"/>
  <c r="D208" i="1"/>
  <c r="I208" i="1" s="1"/>
  <c r="F207" i="1" l="1"/>
  <c r="D207" i="1"/>
  <c r="I207" i="1" s="1"/>
  <c r="F206" i="1" l="1"/>
  <c r="D206" i="1"/>
  <c r="I206" i="1" s="1"/>
  <c r="F205" i="1" l="1"/>
  <c r="D205" i="1"/>
  <c r="I205" i="1" l="1"/>
  <c r="F204" i="1"/>
  <c r="D204" i="1"/>
  <c r="I204" i="1" s="1"/>
  <c r="F203" i="1" l="1"/>
  <c r="D203" i="1"/>
  <c r="I203" i="1" s="1"/>
  <c r="F202" i="1" l="1"/>
  <c r="D202" i="1"/>
  <c r="I202" i="1" l="1"/>
  <c r="F201" i="1"/>
  <c r="D201" i="1"/>
  <c r="I201" i="1" l="1"/>
  <c r="F194" i="1"/>
  <c r="F195" i="1" l="1"/>
  <c r="F200" i="1" l="1"/>
  <c r="F199" i="1"/>
  <c r="F198" i="1"/>
  <c r="F197" i="1"/>
  <c r="D200" i="1"/>
  <c r="I200" i="1" s="1"/>
  <c r="D199" i="1"/>
  <c r="D198" i="1"/>
  <c r="D197" i="1"/>
  <c r="F196" i="1"/>
  <c r="D196" i="1"/>
  <c r="D195" i="1"/>
  <c r="I199" i="1" l="1"/>
  <c r="I198" i="1" l="1"/>
  <c r="I197" i="1" l="1"/>
  <c r="I196" i="1" l="1"/>
  <c r="I195" i="1" l="1"/>
  <c r="D194" i="1" l="1"/>
  <c r="I194" i="1" l="1"/>
  <c r="F193" i="1"/>
  <c r="I193" i="1" s="1"/>
  <c r="D193" i="1"/>
  <c r="F192" i="1" l="1"/>
  <c r="D192" i="1"/>
  <c r="I192" i="1" s="1"/>
  <c r="F191" i="1" l="1"/>
  <c r="D191" i="1"/>
  <c r="I191" i="1" s="1"/>
  <c r="F190" i="1" l="1"/>
  <c r="D190" i="1"/>
  <c r="I190" i="1" s="1"/>
  <c r="F189" i="1" l="1"/>
  <c r="D189" i="1"/>
  <c r="I189" i="1" l="1"/>
  <c r="F188" i="1"/>
  <c r="D188" i="1"/>
  <c r="I188" i="1" s="1"/>
  <c r="F187" i="1" l="1"/>
  <c r="D187" i="1"/>
  <c r="I187" i="1" s="1"/>
  <c r="F186" i="1" l="1"/>
  <c r="D186" i="1"/>
  <c r="I186" i="1" s="1"/>
  <c r="F185" i="1" l="1"/>
  <c r="D185" i="1"/>
  <c r="I185" i="1" s="1"/>
  <c r="F184" i="1" l="1"/>
  <c r="D184" i="1"/>
  <c r="I184" i="1" s="1"/>
  <c r="F183" i="1" l="1"/>
  <c r="D183" i="1"/>
  <c r="I183" i="1" s="1"/>
  <c r="F182" i="1" l="1"/>
  <c r="D182" i="1"/>
  <c r="I182" i="1" l="1"/>
  <c r="F181" i="1"/>
  <c r="D181" i="1"/>
  <c r="I181" i="1" l="1"/>
  <c r="F180" i="1"/>
  <c r="D180" i="1"/>
  <c r="I180" i="1" l="1"/>
  <c r="F179" i="1"/>
  <c r="D179" i="1"/>
  <c r="I179" i="1" l="1"/>
  <c r="F178" i="1"/>
  <c r="D178" i="1"/>
  <c r="I178" i="1" l="1"/>
  <c r="F177" i="1"/>
  <c r="D177" i="1"/>
  <c r="I177" i="1" s="1"/>
  <c r="F176" i="1" l="1"/>
  <c r="D176" i="1"/>
  <c r="I176" i="1" l="1"/>
  <c r="F175" i="1"/>
  <c r="D175" i="1"/>
  <c r="I175" i="1" l="1"/>
  <c r="F174" i="1"/>
  <c r="D174" i="1"/>
  <c r="I174" i="1" s="1"/>
  <c r="F173" i="1" l="1"/>
  <c r="D173" i="1"/>
  <c r="I173" i="1" s="1"/>
  <c r="F172" i="1" l="1"/>
  <c r="D172" i="1"/>
  <c r="I172" i="1" l="1"/>
  <c r="F171" i="1"/>
  <c r="D171" i="1"/>
  <c r="I171" i="1" s="1"/>
  <c r="F170" i="1" l="1"/>
  <c r="D170" i="1"/>
  <c r="I170" i="1" s="1"/>
  <c r="F169" i="1" l="1"/>
  <c r="D169" i="1"/>
  <c r="I169" i="1" l="1"/>
  <c r="F168" i="1"/>
  <c r="D168" i="1"/>
  <c r="I168" i="1" l="1"/>
  <c r="F167" i="1"/>
  <c r="D167" i="1"/>
  <c r="I167" i="1" l="1"/>
  <c r="F166" i="1"/>
  <c r="D166" i="1"/>
  <c r="I166" i="1" s="1"/>
  <c r="F165" i="1"/>
  <c r="I165" i="1" s="1"/>
  <c r="D165" i="1"/>
  <c r="F164" i="1" l="1"/>
  <c r="D164" i="1"/>
  <c r="I164" i="1" s="1"/>
  <c r="F163" i="1" l="1"/>
  <c r="D163" i="1"/>
  <c r="I163" i="1" s="1"/>
  <c r="D161" i="1" l="1"/>
  <c r="F162" i="1" l="1"/>
  <c r="D162" i="1"/>
  <c r="F161" i="1"/>
  <c r="D157" i="1"/>
  <c r="D158" i="1"/>
  <c r="D159" i="1"/>
  <c r="D160" i="1"/>
  <c r="F157" i="1"/>
  <c r="F158" i="1"/>
  <c r="F159" i="1"/>
  <c r="F160" i="1"/>
  <c r="F156" i="1"/>
  <c r="D156" i="1"/>
  <c r="I162" i="1" l="1"/>
  <c r="I161" i="1"/>
  <c r="I160" i="1"/>
  <c r="I159" i="1" l="1"/>
  <c r="I158" i="1" l="1"/>
  <c r="I157" i="1" l="1"/>
  <c r="I156" i="1" l="1"/>
  <c r="F155" i="1" l="1"/>
  <c r="D155" i="1"/>
  <c r="I155" i="1" s="1"/>
  <c r="F154" i="1" l="1"/>
  <c r="D154" i="1"/>
  <c r="I154" i="1" l="1"/>
  <c r="F153" i="1"/>
  <c r="D153" i="1"/>
  <c r="I153" i="1" l="1"/>
  <c r="F152" i="1"/>
  <c r="D152" i="1"/>
  <c r="I152" i="1" s="1"/>
  <c r="F151" i="1" l="1"/>
  <c r="D151" i="1"/>
  <c r="I151" i="1" l="1"/>
  <c r="F150" i="1"/>
  <c r="D150" i="1"/>
  <c r="I150" i="1" s="1"/>
  <c r="F149" i="1" l="1"/>
  <c r="D149" i="1"/>
  <c r="I149" i="1" s="1"/>
  <c r="F148" i="1" l="1"/>
  <c r="D148" i="1"/>
  <c r="I148" i="1" l="1"/>
  <c r="F147" i="1"/>
  <c r="D147" i="1"/>
  <c r="I147" i="1" s="1"/>
  <c r="F146" i="1" l="1"/>
  <c r="D146" i="1"/>
  <c r="I146" i="1" s="1"/>
  <c r="F145" i="1" l="1"/>
  <c r="D145" i="1"/>
  <c r="I145" i="1" s="1"/>
  <c r="F144" i="1" l="1"/>
  <c r="D144" i="1"/>
  <c r="I144" i="1" s="1"/>
  <c r="F143" i="1" l="1"/>
  <c r="D143" i="1"/>
  <c r="I143" i="1" s="1"/>
  <c r="F142" i="1" l="1"/>
  <c r="D142" i="1"/>
  <c r="I142" i="1" s="1"/>
  <c r="F141" i="1" l="1"/>
  <c r="D141" i="1"/>
  <c r="I141" i="1" s="1"/>
  <c r="F140" i="1" l="1"/>
  <c r="D140" i="1"/>
  <c r="I140" i="1" s="1"/>
  <c r="F139" i="1" l="1"/>
  <c r="D139" i="1"/>
  <c r="I139" i="1" l="1"/>
  <c r="F138" i="1"/>
  <c r="D138" i="1"/>
  <c r="I138" i="1" l="1"/>
  <c r="F137" i="1"/>
  <c r="D137" i="1"/>
  <c r="I137" i="1" s="1"/>
  <c r="F136" i="1" l="1"/>
  <c r="D136" i="1"/>
  <c r="I136" i="1" s="1"/>
  <c r="F135" i="1" l="1"/>
  <c r="D135" i="1"/>
  <c r="F134" i="1"/>
  <c r="D134" i="1"/>
  <c r="I134" i="1" s="1"/>
  <c r="I135" i="1" l="1"/>
  <c r="F133" i="1"/>
  <c r="D133" i="1"/>
  <c r="I133" i="1" l="1"/>
  <c r="F132" i="1"/>
  <c r="D132" i="1"/>
  <c r="I132" i="1" s="1"/>
  <c r="F131" i="1" l="1"/>
  <c r="D131" i="1"/>
  <c r="I131" i="1" s="1"/>
  <c r="F130" i="1" l="1"/>
  <c r="D130" i="1"/>
  <c r="I130" i="1" l="1"/>
  <c r="F129" i="1"/>
  <c r="D129" i="1"/>
  <c r="I129" i="1" s="1"/>
  <c r="F128" i="1" l="1"/>
  <c r="D128" i="1"/>
  <c r="I128" i="1" s="1"/>
  <c r="F127" i="1" l="1"/>
  <c r="D127" i="1"/>
  <c r="I127" i="1" s="1"/>
  <c r="F126" i="1" l="1"/>
  <c r="D126" i="1"/>
  <c r="I126" i="1" s="1"/>
  <c r="F125" i="1" l="1"/>
  <c r="D125" i="1"/>
  <c r="I125" i="1" s="1"/>
  <c r="F124" i="1" l="1"/>
  <c r="D124" i="1"/>
  <c r="I124" i="1" l="1"/>
  <c r="F123" i="1"/>
  <c r="D123" i="1"/>
  <c r="I123" i="1" s="1"/>
  <c r="F122" i="1" l="1"/>
  <c r="D122" i="1"/>
  <c r="I122" i="1" l="1"/>
  <c r="F121" i="1"/>
  <c r="D121" i="1"/>
  <c r="I121" i="1" l="1"/>
  <c r="F120" i="1"/>
  <c r="D120" i="1"/>
  <c r="I120" i="1" l="1"/>
  <c r="F119" i="1"/>
  <c r="D119" i="1"/>
  <c r="I119" i="1" s="1"/>
  <c r="F118" i="1" l="1"/>
  <c r="D118" i="1"/>
  <c r="I118" i="1" s="1"/>
  <c r="F117" i="1" l="1"/>
  <c r="D117" i="1"/>
  <c r="I117" i="1" l="1"/>
  <c r="F116" i="1"/>
  <c r="D116" i="1"/>
  <c r="I116" i="1" l="1"/>
  <c r="F115" i="1"/>
  <c r="D115" i="1"/>
  <c r="I115" i="1" s="1"/>
  <c r="F114" i="1" l="1"/>
  <c r="D114" i="1"/>
  <c r="I114" i="1" s="1"/>
  <c r="F113" i="1" l="1"/>
  <c r="D113" i="1"/>
  <c r="I113" i="1" s="1"/>
  <c r="F112" i="1" l="1"/>
  <c r="D112" i="1"/>
  <c r="I112" i="1" l="1"/>
  <c r="F111" i="1"/>
  <c r="D111" i="1"/>
  <c r="I111" i="1" s="1"/>
  <c r="F110" i="1" l="1"/>
  <c r="D110" i="1"/>
  <c r="I110" i="1" l="1"/>
  <c r="F109" i="1"/>
  <c r="D109" i="1"/>
  <c r="I109" i="1" l="1"/>
  <c r="F108" i="1"/>
  <c r="D108" i="1"/>
  <c r="I108" i="1" s="1"/>
  <c r="F107" i="1" l="1"/>
  <c r="D107" i="1"/>
  <c r="I107" i="1" l="1"/>
  <c r="F106" i="1"/>
  <c r="D106" i="1"/>
  <c r="I106" i="1" l="1"/>
  <c r="F105" i="1"/>
  <c r="D105" i="1"/>
  <c r="I105" i="1" l="1"/>
  <c r="F104" i="1"/>
  <c r="D104" i="1"/>
  <c r="I104" i="1" l="1"/>
  <c r="F103" i="1"/>
  <c r="D103" i="1"/>
  <c r="I103" i="1" l="1"/>
  <c r="F102" i="1"/>
  <c r="D102" i="1"/>
  <c r="I102" i="1" l="1"/>
  <c r="F101" i="1"/>
  <c r="D101" i="1"/>
  <c r="I101" i="1" s="1"/>
  <c r="F100" i="1" l="1"/>
  <c r="D100" i="1"/>
  <c r="I100" i="1" l="1"/>
  <c r="F99" i="1"/>
  <c r="D99" i="1"/>
  <c r="I99" i="1" l="1"/>
  <c r="F98" i="1"/>
  <c r="D98" i="1"/>
  <c r="I98" i="1" s="1"/>
  <c r="F97" i="1" l="1"/>
  <c r="D97" i="1"/>
  <c r="I97" i="1" s="1"/>
  <c r="F96" i="1" l="1"/>
  <c r="D96" i="1"/>
  <c r="I96" i="1" s="1"/>
  <c r="F95" i="1" l="1"/>
  <c r="D95" i="1"/>
  <c r="I95" i="1" l="1"/>
  <c r="F94" i="1"/>
  <c r="D94" i="1"/>
  <c r="I94" i="1" s="1"/>
  <c r="F93" i="1" l="1"/>
  <c r="D93" i="1"/>
  <c r="I93" i="1" s="1"/>
  <c r="F92" i="1" l="1"/>
  <c r="D92" i="1"/>
  <c r="I92" i="1" s="1"/>
  <c r="F91" i="1" l="1"/>
  <c r="D91" i="1"/>
  <c r="I91" i="1" l="1"/>
  <c r="F90" i="1"/>
  <c r="D90" i="1"/>
  <c r="I90" i="1" s="1"/>
  <c r="F89" i="1" l="1"/>
  <c r="D89" i="1"/>
  <c r="I89" i="1" s="1"/>
  <c r="F88" i="1" l="1"/>
  <c r="D88" i="1"/>
  <c r="I88" i="1" l="1"/>
  <c r="F87" i="1"/>
  <c r="D87" i="1"/>
  <c r="I87" i="1" s="1"/>
  <c r="F86" i="1" l="1"/>
  <c r="D86" i="1"/>
  <c r="I86" i="1" s="1"/>
  <c r="F85" i="1" l="1"/>
  <c r="D85" i="1"/>
  <c r="I85" i="1" s="1"/>
  <c r="F84" i="1" l="1"/>
  <c r="D84" i="1"/>
  <c r="I84" i="1" l="1"/>
  <c r="F83" i="1"/>
  <c r="D83" i="1"/>
  <c r="I83" i="1" l="1"/>
  <c r="F82" i="1"/>
  <c r="D82" i="1"/>
  <c r="I82" i="1" s="1"/>
  <c r="F81" i="1" l="1"/>
  <c r="D81" i="1"/>
  <c r="I81" i="1" l="1"/>
  <c r="F80" i="1"/>
  <c r="D80" i="1"/>
  <c r="I80" i="1" l="1"/>
  <c r="F79" i="1"/>
  <c r="D79" i="1"/>
  <c r="I79" i="1" l="1"/>
  <c r="F78" i="1"/>
  <c r="D78" i="1"/>
  <c r="I78" i="1" s="1"/>
  <c r="F77" i="1" l="1"/>
  <c r="D77" i="1"/>
  <c r="I77" i="1" s="1"/>
  <c r="F76" i="1" l="1"/>
  <c r="D76" i="1"/>
  <c r="I76" i="1" s="1"/>
  <c r="D75" i="1" l="1"/>
  <c r="F75" i="1"/>
  <c r="D74" i="1"/>
  <c r="F74" i="1"/>
  <c r="I75" i="1" l="1"/>
  <c r="I74" i="1"/>
  <c r="F73" i="1"/>
  <c r="D73" i="1"/>
  <c r="I73" i="1" l="1"/>
  <c r="F72" i="1"/>
  <c r="D72" i="1"/>
  <c r="I72" i="1" l="1"/>
  <c r="F71" i="1"/>
  <c r="D71" i="1"/>
  <c r="I71" i="1" s="1"/>
  <c r="F70" i="1" l="1"/>
  <c r="D70" i="1"/>
  <c r="I70" i="1" s="1"/>
  <c r="F69" i="1" l="1"/>
  <c r="D69" i="1"/>
  <c r="I69" i="1" s="1"/>
  <c r="F68" i="1" l="1"/>
  <c r="D68" i="1"/>
  <c r="I68" i="1" s="1"/>
  <c r="F67" i="1" l="1"/>
  <c r="D67" i="1"/>
  <c r="I67" i="1" s="1"/>
  <c r="F66" i="1" l="1"/>
  <c r="D66" i="1"/>
  <c r="I66" i="1" s="1"/>
  <c r="F65" i="1" l="1"/>
  <c r="D65" i="1"/>
  <c r="I65" i="1" s="1"/>
  <c r="F64" i="1" l="1"/>
  <c r="D64" i="1"/>
  <c r="I64" i="1" s="1"/>
  <c r="D63" i="1" l="1"/>
  <c r="F63" i="1"/>
  <c r="I63" i="1" l="1"/>
  <c r="F62" i="1"/>
  <c r="D62" i="1"/>
  <c r="I62" i="1" s="1"/>
  <c r="F61" i="1" l="1"/>
  <c r="D61" i="1"/>
  <c r="I61" i="1" s="1"/>
  <c r="F60" i="1" l="1"/>
  <c r="D60" i="1"/>
  <c r="I60" i="1" s="1"/>
  <c r="F59" i="1" l="1"/>
  <c r="D59" i="1"/>
  <c r="I59" i="1" s="1"/>
  <c r="F58" i="1" l="1"/>
  <c r="D58" i="1"/>
  <c r="I58" i="1" s="1"/>
  <c r="F57" i="1" l="1"/>
  <c r="D57" i="1"/>
  <c r="I57" i="1" s="1"/>
  <c r="F56" i="1" l="1"/>
  <c r="D56" i="1"/>
  <c r="I56" i="1" s="1"/>
  <c r="F55" i="1" l="1"/>
  <c r="D55" i="1"/>
  <c r="I55" i="1" s="1"/>
  <c r="F54" i="1" l="1"/>
  <c r="D54" i="1"/>
  <c r="I54" i="1" s="1"/>
  <c r="F53" i="1" l="1"/>
  <c r="D53" i="1"/>
  <c r="I53" i="1" s="1"/>
  <c r="F52" i="1" l="1"/>
  <c r="D52" i="1"/>
  <c r="I52" i="1" s="1"/>
  <c r="F51" i="1" l="1"/>
  <c r="D51" i="1"/>
  <c r="I51" i="1" s="1"/>
  <c r="F50" i="1" l="1"/>
  <c r="D50" i="1"/>
  <c r="I50" i="1" s="1"/>
  <c r="F49" i="1" l="1"/>
  <c r="D49" i="1"/>
  <c r="I49" i="1" s="1"/>
  <c r="F48" i="1" l="1"/>
  <c r="D48" i="1"/>
  <c r="I48" i="1" s="1"/>
  <c r="F47" i="1" l="1"/>
  <c r="D47" i="1"/>
  <c r="I47" i="1" s="1"/>
  <c r="F46" i="1" l="1"/>
  <c r="D46" i="1"/>
  <c r="I46" i="1" s="1"/>
  <c r="F45" i="1" l="1"/>
  <c r="D45" i="1"/>
  <c r="I45" i="1" s="1"/>
  <c r="F44" i="1" l="1"/>
  <c r="D44" i="1"/>
  <c r="I44" i="1" s="1"/>
  <c r="F43" i="1" l="1"/>
  <c r="D43" i="1"/>
  <c r="I43" i="1" s="1"/>
  <c r="F42" i="1" l="1"/>
  <c r="D42" i="1"/>
  <c r="I42" i="1" s="1"/>
  <c r="F41" i="1"/>
  <c r="D41" i="1"/>
  <c r="I41" i="1" s="1"/>
  <c r="F40" i="1" l="1"/>
  <c r="D40" i="1"/>
  <c r="I40" i="1" s="1"/>
  <c r="F27" i="1"/>
  <c r="F39" i="1" l="1"/>
  <c r="D39" i="1"/>
  <c r="I39" i="1" s="1"/>
  <c r="F38" i="1" l="1"/>
  <c r="D38" i="1"/>
  <c r="I38" i="1" s="1"/>
  <c r="F37" i="1" l="1"/>
  <c r="D37" i="1"/>
  <c r="I37" i="1" s="1"/>
  <c r="F36" i="1" l="1"/>
  <c r="D36" i="1"/>
  <c r="I36" i="1" s="1"/>
  <c r="F35" i="1" l="1"/>
  <c r="D35" i="1"/>
  <c r="I35" i="1" s="1"/>
  <c r="F34" i="1" l="1"/>
  <c r="D34" i="1"/>
  <c r="I34" i="1" s="1"/>
  <c r="F33" i="1" l="1"/>
  <c r="D33" i="1"/>
  <c r="I33" i="1" s="1"/>
  <c r="F32" i="1"/>
  <c r="D32" i="1"/>
  <c r="I32" i="1" s="1"/>
  <c r="F31" i="1"/>
  <c r="D31" i="1"/>
  <c r="I31" i="1" s="1"/>
  <c r="F30" i="1"/>
  <c r="D30" i="1"/>
  <c r="I30" i="1" s="1"/>
  <c r="F29" i="1" l="1"/>
  <c r="D29" i="1"/>
  <c r="I29" i="1" s="1"/>
  <c r="F28" i="1" l="1"/>
  <c r="D28" i="1"/>
  <c r="I28" i="1" s="1"/>
  <c r="D27" i="1" l="1"/>
  <c r="I27" i="1" s="1"/>
  <c r="F26" i="1" l="1"/>
  <c r="D26" i="1"/>
  <c r="I26" i="1" s="1"/>
  <c r="F25" i="1" l="1"/>
  <c r="D25" i="1"/>
  <c r="I25" i="1" s="1"/>
  <c r="F24" i="1" l="1"/>
  <c r="D24" i="1"/>
  <c r="I24" i="1" s="1"/>
  <c r="F23" i="1" l="1"/>
  <c r="D23" i="1"/>
  <c r="I23" i="1" s="1"/>
  <c r="F22" i="1" l="1"/>
  <c r="D22" i="1"/>
  <c r="I22" i="1" l="1"/>
  <c r="F21" i="1"/>
  <c r="D21" i="1"/>
  <c r="I21" i="1" s="1"/>
  <c r="F20" i="1" l="1"/>
  <c r="D20" i="1"/>
  <c r="I20" i="1" s="1"/>
  <c r="F19" i="1"/>
  <c r="D19" i="1"/>
  <c r="I19" i="1" s="1"/>
  <c r="F18" i="1" l="1"/>
  <c r="D18" i="1"/>
  <c r="I18" i="1" s="1"/>
  <c r="F6" i="1" l="1"/>
  <c r="F7" i="1"/>
  <c r="F8" i="1"/>
  <c r="F9" i="1"/>
  <c r="F10" i="1"/>
  <c r="F11" i="1"/>
  <c r="F12" i="1"/>
  <c r="F13" i="1"/>
  <c r="F14" i="1"/>
  <c r="F15" i="1"/>
  <c r="F16" i="1"/>
  <c r="F17" i="1"/>
  <c r="F5" i="1"/>
  <c r="F4" i="1"/>
  <c r="D7" i="1"/>
  <c r="I7" i="1" s="1"/>
  <c r="D8" i="1"/>
  <c r="I8" i="1" s="1"/>
  <c r="D9" i="1"/>
  <c r="D10" i="1"/>
  <c r="D11" i="1"/>
  <c r="D12" i="1"/>
  <c r="D13" i="1"/>
  <c r="D14" i="1"/>
  <c r="D15" i="1"/>
  <c r="D16" i="1"/>
  <c r="D17" i="1"/>
  <c r="D6" i="1"/>
  <c r="D5" i="1"/>
  <c r="D4" i="1"/>
  <c r="I15" i="1" l="1"/>
  <c r="I12" i="1"/>
  <c r="I4" i="1"/>
  <c r="I16" i="1"/>
  <c r="I11" i="1"/>
  <c r="I17" i="1"/>
  <c r="I13" i="1"/>
  <c r="I9" i="1"/>
  <c r="I5" i="1"/>
  <c r="I6" i="1"/>
  <c r="I14" i="1"/>
  <c r="I10" i="1"/>
</calcChain>
</file>

<file path=xl/sharedStrings.xml><?xml version="1.0" encoding="utf-8"?>
<sst xmlns="http://schemas.openxmlformats.org/spreadsheetml/2006/main" count="534" uniqueCount="362">
  <si>
    <t>Fogyasztás</t>
  </si>
  <si>
    <t>Termelés</t>
  </si>
  <si>
    <t>2022. áramfogyasztás</t>
  </si>
  <si>
    <t>Fogyasztás villanyóra állás</t>
  </si>
  <si>
    <t>Termelő Villanyóra állás</t>
  </si>
  <si>
    <t>2022.09.19</t>
  </si>
  <si>
    <t>20:40</t>
  </si>
  <si>
    <t>Dátum</t>
  </si>
  <si>
    <t>Idő</t>
  </si>
  <si>
    <t>2022.08.01</t>
  </si>
  <si>
    <t>2022.09.20</t>
  </si>
  <si>
    <t>07:00</t>
  </si>
  <si>
    <t>18:00</t>
  </si>
  <si>
    <t>2022.09.21</t>
  </si>
  <si>
    <t>07:15</t>
  </si>
  <si>
    <t>17:45</t>
  </si>
  <si>
    <t>2022.09.22</t>
  </si>
  <si>
    <t>07:20</t>
  </si>
  <si>
    <t>2022.09.23</t>
  </si>
  <si>
    <t>2022.09.24</t>
  </si>
  <si>
    <t>0:30</t>
  </si>
  <si>
    <t>2022.09.25</t>
  </si>
  <si>
    <t>18:45</t>
  </si>
  <si>
    <t>2022.09.26</t>
  </si>
  <si>
    <t>10:40</t>
  </si>
  <si>
    <t>20:20</t>
  </si>
  <si>
    <t>2022.09.27</t>
  </si>
  <si>
    <t>18:25</t>
  </si>
  <si>
    <t>2022.09.28</t>
  </si>
  <si>
    <t>20:00</t>
  </si>
  <si>
    <t>2022.09.29</t>
  </si>
  <si>
    <t>13:30</t>
  </si>
  <si>
    <t>2022.09.30</t>
  </si>
  <si>
    <t>22:00</t>
  </si>
  <si>
    <t>2022.10.02</t>
  </si>
  <si>
    <t>12:30</t>
  </si>
  <si>
    <t>2022.10.03</t>
  </si>
  <si>
    <t>2022.10.04</t>
  </si>
  <si>
    <t>18:30</t>
  </si>
  <si>
    <t>2022.10.05</t>
  </si>
  <si>
    <t>09:00</t>
  </si>
  <si>
    <t>19:00</t>
  </si>
  <si>
    <t>Hőmérséklet(nappal)</t>
  </si>
  <si>
    <t>Hőmérséklet(éjjel)</t>
  </si>
  <si>
    <t>2022.10.06</t>
  </si>
  <si>
    <t>9:00</t>
  </si>
  <si>
    <t>2022.10.07</t>
  </si>
  <si>
    <t>16:45</t>
  </si>
  <si>
    <t>2022.10.08</t>
  </si>
  <si>
    <t>2022.10.09</t>
  </si>
  <si>
    <t>17:15</t>
  </si>
  <si>
    <t>2022.10.10</t>
  </si>
  <si>
    <t>2022.10.11</t>
  </si>
  <si>
    <t>7:00</t>
  </si>
  <si>
    <t>2022.10.12</t>
  </si>
  <si>
    <t>2022.10.13</t>
  </si>
  <si>
    <t>2022.10.14</t>
  </si>
  <si>
    <t>2022.10.15</t>
  </si>
  <si>
    <t>23:15</t>
  </si>
  <si>
    <t>17:50</t>
  </si>
  <si>
    <t>2022.10.17</t>
  </si>
  <si>
    <t>2022.10.18</t>
  </si>
  <si>
    <t>2022.10.19</t>
  </si>
  <si>
    <t>2022.10.20</t>
  </si>
  <si>
    <t>2022.10.22</t>
  </si>
  <si>
    <t>10:30</t>
  </si>
  <si>
    <t>2022.10.23</t>
  </si>
  <si>
    <t>15:30</t>
  </si>
  <si>
    <t>2022.10.24</t>
  </si>
  <si>
    <t>2022.10.25</t>
  </si>
  <si>
    <t>20:30</t>
  </si>
  <si>
    <t>2022.10.26</t>
  </si>
  <si>
    <t>17:20</t>
  </si>
  <si>
    <t>2022.10.31</t>
  </si>
  <si>
    <t>2022.11.05</t>
  </si>
  <si>
    <t>2022.11.10</t>
  </si>
  <si>
    <t>17:30</t>
  </si>
  <si>
    <t>2022.11.11</t>
  </si>
  <si>
    <t>2022.11.17</t>
  </si>
  <si>
    <t>16:30</t>
  </si>
  <si>
    <t>2022.11.21</t>
  </si>
  <si>
    <t>11:30</t>
  </si>
  <si>
    <t>2022.11.30</t>
  </si>
  <si>
    <t>2022.12.03</t>
  </si>
  <si>
    <t>15:40</t>
  </si>
  <si>
    <t>2022.12.08</t>
  </si>
  <si>
    <t>10:15</t>
  </si>
  <si>
    <t>2022.12.16</t>
  </si>
  <si>
    <t>18:40</t>
  </si>
  <si>
    <t>2022.12.25</t>
  </si>
  <si>
    <t>11:40</t>
  </si>
  <si>
    <t>2023.01.14</t>
  </si>
  <si>
    <t>13:50</t>
  </si>
  <si>
    <t>2023.01.31</t>
  </si>
  <si>
    <t>2023.02.09</t>
  </si>
  <si>
    <t>08:30</t>
  </si>
  <si>
    <t>2023.02.19</t>
  </si>
  <si>
    <t>11:25</t>
  </si>
  <si>
    <t>2023.02.22</t>
  </si>
  <si>
    <t>19:30</t>
  </si>
  <si>
    <t>2023.03.19</t>
  </si>
  <si>
    <t>18:35</t>
  </si>
  <si>
    <t>20:55</t>
  </si>
  <si>
    <t>2023.05.03</t>
  </si>
  <si>
    <t>2023.04.23</t>
  </si>
  <si>
    <t>07:10</t>
  </si>
  <si>
    <t>2023.05.06</t>
  </si>
  <si>
    <t>09:50</t>
  </si>
  <si>
    <t>2023.05.15</t>
  </si>
  <si>
    <t>2023.05.26</t>
  </si>
  <si>
    <t>11:50</t>
  </si>
  <si>
    <t>2023.06.16</t>
  </si>
  <si>
    <t>16:10</t>
  </si>
  <si>
    <t>2023.07.08</t>
  </si>
  <si>
    <t>14:00</t>
  </si>
  <si>
    <t>2023.07.28</t>
  </si>
  <si>
    <t>16:00</t>
  </si>
  <si>
    <t>2023.08.04</t>
  </si>
  <si>
    <t>15:45</t>
  </si>
  <si>
    <t>2023.08.06</t>
  </si>
  <si>
    <t>2023.08.28</t>
  </si>
  <si>
    <t>2023.08.31</t>
  </si>
  <si>
    <t>2023.09.06</t>
  </si>
  <si>
    <t>Szaldó</t>
  </si>
  <si>
    <t>Kazánlekapcsolás</t>
  </si>
  <si>
    <t>2023.09.15</t>
  </si>
  <si>
    <t>2023.09.19</t>
  </si>
  <si>
    <t>2023.09.22</t>
  </si>
  <si>
    <t>2023.09.24</t>
  </si>
  <si>
    <t>2023.09.28</t>
  </si>
  <si>
    <t>22:10</t>
  </si>
  <si>
    <t>2023.09.29</t>
  </si>
  <si>
    <t>23:00</t>
  </si>
  <si>
    <t>2023.10.03</t>
  </si>
  <si>
    <t>17:40</t>
  </si>
  <si>
    <t>2023.10.06</t>
  </si>
  <si>
    <t>19:10</t>
  </si>
  <si>
    <t>20 perces próbafűtés után</t>
  </si>
  <si>
    <t>2023.10.15</t>
  </si>
  <si>
    <t>12:15</t>
  </si>
  <si>
    <t>2023.10.18</t>
  </si>
  <si>
    <t>Kazán bekapcsolás</t>
  </si>
  <si>
    <t>2023.10.19</t>
  </si>
  <si>
    <t>Kazán mahinálás, 5 fűtőcsőre visszavéve, PID szabályozás</t>
  </si>
  <si>
    <t>2023.10.21</t>
  </si>
  <si>
    <t>2023.10.23</t>
  </si>
  <si>
    <t>2023.10.24</t>
  </si>
  <si>
    <t>2023.10.25</t>
  </si>
  <si>
    <t>2023.10.31</t>
  </si>
  <si>
    <t>2023.11:04</t>
  </si>
  <si>
    <t>21:00</t>
  </si>
  <si>
    <t>2023.11.10</t>
  </si>
  <si>
    <t>08:00</t>
  </si>
  <si>
    <t>13:40</t>
  </si>
  <si>
    <t>2023.11.13</t>
  </si>
  <si>
    <t>2023.11.18</t>
  </si>
  <si>
    <t>2023.11.24</t>
  </si>
  <si>
    <t>2023.11.28</t>
  </si>
  <si>
    <t>2023.12.05</t>
  </si>
  <si>
    <t>14:45</t>
  </si>
  <si>
    <t>2023.12.10</t>
  </si>
  <si>
    <t>2023.12.15</t>
  </si>
  <si>
    <t>16:50</t>
  </si>
  <si>
    <t>2023.12.17</t>
  </si>
  <si>
    <t>2023.12.26</t>
  </si>
  <si>
    <t>13:15</t>
  </si>
  <si>
    <t>2023.12.29</t>
  </si>
  <si>
    <t>11:00</t>
  </si>
  <si>
    <t>2024.01.07</t>
  </si>
  <si>
    <t>2024.01.14</t>
  </si>
  <si>
    <t>10:50</t>
  </si>
  <si>
    <t>2024.01.19</t>
  </si>
  <si>
    <t>2024.01.23</t>
  </si>
  <si>
    <t>12:00</t>
  </si>
  <si>
    <t>2024.01.27</t>
  </si>
  <si>
    <t>2024.02.04</t>
  </si>
  <si>
    <t>2024.02.12</t>
  </si>
  <si>
    <t>21:45</t>
  </si>
  <si>
    <t>2024.02.17</t>
  </si>
  <si>
    <t>08:50</t>
  </si>
  <si>
    <t>2024.02.24</t>
  </si>
  <si>
    <t>2024.02.25</t>
  </si>
  <si>
    <t>2024.03.04</t>
  </si>
  <si>
    <t>2024.03.09</t>
  </si>
  <si>
    <t>2024.03.15</t>
  </si>
  <si>
    <t>2024.03.17</t>
  </si>
  <si>
    <t>2024.03.24</t>
  </si>
  <si>
    <t>2024.03.30</t>
  </si>
  <si>
    <t>2024.04.04</t>
  </si>
  <si>
    <t>19:15</t>
  </si>
  <si>
    <t>2024.04.06</t>
  </si>
  <si>
    <t>2024.04.12</t>
  </si>
  <si>
    <t>13:20</t>
  </si>
  <si>
    <t>04.08-án kazán kikapcsolva</t>
  </si>
  <si>
    <t>2024.04.15</t>
  </si>
  <si>
    <t>08:45</t>
  </si>
  <si>
    <t>2024.04.18</t>
  </si>
  <si>
    <t>Kazán visszakapcsolva  04.14.-én</t>
  </si>
  <si>
    <t>2024.04.21</t>
  </si>
  <si>
    <t>2024.04.28</t>
  </si>
  <si>
    <t>09:30</t>
  </si>
  <si>
    <t>2024.05.01</t>
  </si>
  <si>
    <t>2024.05.05</t>
  </si>
  <si>
    <t>2024.05.18</t>
  </si>
  <si>
    <t>14:30</t>
  </si>
  <si>
    <t>2024.05.21</t>
  </si>
  <si>
    <t>2024.05.28</t>
  </si>
  <si>
    <t>07:30</t>
  </si>
  <si>
    <t>2024.05.29</t>
  </si>
  <si>
    <t>2024.06.03</t>
  </si>
  <si>
    <t>2024.06.07</t>
  </si>
  <si>
    <t>08:40</t>
  </si>
  <si>
    <t>2024.06.09</t>
  </si>
  <si>
    <t>2024.06.11</t>
  </si>
  <si>
    <t>2024.06.13</t>
  </si>
  <si>
    <t>2024.06.14</t>
  </si>
  <si>
    <t>2024.06.18</t>
  </si>
  <si>
    <t>10:00</t>
  </si>
  <si>
    <t>2024.06.20</t>
  </si>
  <si>
    <t>2024.06.25</t>
  </si>
  <si>
    <t>2024.06.28</t>
  </si>
  <si>
    <t>09:20</t>
  </si>
  <si>
    <t>2024.07.02</t>
  </si>
  <si>
    <t>2024.07.09</t>
  </si>
  <si>
    <t>2024.07.11</t>
  </si>
  <si>
    <t>2024.07.16</t>
  </si>
  <si>
    <t>2024.07.17</t>
  </si>
  <si>
    <t>2024.07.21</t>
  </si>
  <si>
    <t>2024.07.26</t>
  </si>
  <si>
    <t>08:20</t>
  </si>
  <si>
    <t>2024.07.30</t>
  </si>
  <si>
    <t>2024.08.04</t>
  </si>
  <si>
    <t>2024.08.05</t>
  </si>
  <si>
    <t>2024.08.07</t>
  </si>
  <si>
    <t>14:15</t>
  </si>
  <si>
    <t>2024.08.10</t>
  </si>
  <si>
    <t>2024.08.13</t>
  </si>
  <si>
    <t>2024.08.16</t>
  </si>
  <si>
    <t>09:15</t>
  </si>
  <si>
    <t>2024.09.12</t>
  </si>
  <si>
    <t>18:10</t>
  </si>
  <si>
    <t>Éves Zárás</t>
  </si>
  <si>
    <t>2024.09.24</t>
  </si>
  <si>
    <t>12:40</t>
  </si>
  <si>
    <t>2024.10.01</t>
  </si>
  <si>
    <t>08:42</t>
  </si>
  <si>
    <t>2024.10.29</t>
  </si>
  <si>
    <t>10:37</t>
  </si>
  <si>
    <t>2024.11.19</t>
  </si>
  <si>
    <t>2024.11.22</t>
  </si>
  <si>
    <t>09:14</t>
  </si>
  <si>
    <t>2025.01.02</t>
  </si>
  <si>
    <t>2025.01.17</t>
  </si>
  <si>
    <t>08:17</t>
  </si>
  <si>
    <t>2025.01.26</t>
  </si>
  <si>
    <t>2025.02.08</t>
  </si>
  <si>
    <t>13:47</t>
  </si>
  <si>
    <t>2025.02.14</t>
  </si>
  <si>
    <t>2025.03.09</t>
  </si>
  <si>
    <t>12:50</t>
  </si>
  <si>
    <t>2025.03.27</t>
  </si>
  <si>
    <t>2025.04.15</t>
  </si>
  <si>
    <t>2025.04.25</t>
  </si>
  <si>
    <t>Kazán lekapcsolás</t>
  </si>
  <si>
    <t>2025.04.30</t>
  </si>
  <si>
    <t>15:00</t>
  </si>
  <si>
    <t>2025.05.08</t>
  </si>
  <si>
    <t>2025.05.14</t>
  </si>
  <si>
    <t>2025.05.28</t>
  </si>
  <si>
    <t>2025.06.04</t>
  </si>
  <si>
    <t>2025.06.12</t>
  </si>
  <si>
    <t>2025.06.23</t>
  </si>
  <si>
    <t>2025.06.28</t>
  </si>
  <si>
    <t>18:50</t>
  </si>
  <si>
    <t>2025.07.07</t>
  </si>
  <si>
    <t>2025.07.12</t>
  </si>
  <si>
    <t>13:00</t>
  </si>
  <si>
    <t>2025.07.16</t>
  </si>
  <si>
    <t>2025.07.20</t>
  </si>
  <si>
    <t>2025.07.26</t>
  </si>
  <si>
    <t>2025.07.30</t>
  </si>
  <si>
    <t>2025.08.01</t>
  </si>
  <si>
    <t>2025.08.05</t>
  </si>
  <si>
    <t>2025.08.07</t>
  </si>
  <si>
    <t>2025.09.12</t>
  </si>
  <si>
    <t>2025.10.01</t>
  </si>
  <si>
    <t>2025.10.03</t>
  </si>
  <si>
    <t>Kazánbekapcsolás</t>
  </si>
  <si>
    <t>2025.10.06</t>
  </si>
  <si>
    <t>2025.10.12</t>
  </si>
  <si>
    <t>2025.10.28</t>
  </si>
  <si>
    <t>2025.11.05</t>
  </si>
  <si>
    <t>átírás</t>
  </si>
  <si>
    <t>2025.11.13</t>
  </si>
  <si>
    <t>9:30</t>
  </si>
  <si>
    <t>2025.11.19</t>
  </si>
  <si>
    <t>2025.11.27</t>
  </si>
  <si>
    <t>2025.11.30</t>
  </si>
  <si>
    <t>2025.12:09</t>
  </si>
  <si>
    <t>10:45</t>
  </si>
  <si>
    <t>2025.12.13</t>
  </si>
  <si>
    <t>2025.12.22</t>
  </si>
  <si>
    <t>2025.12.26</t>
  </si>
  <si>
    <t>2026.01.05</t>
  </si>
  <si>
    <t>2026.01.09</t>
  </si>
  <si>
    <t>2026.01.21</t>
  </si>
  <si>
    <t>2026.02.05</t>
  </si>
  <si>
    <t>2026.02.11</t>
  </si>
  <si>
    <t>16:40</t>
  </si>
  <si>
    <t>2026.02.18</t>
  </si>
  <si>
    <t>2026.02.24</t>
  </si>
  <si>
    <t>2026.03.03</t>
  </si>
  <si>
    <t>2026.03.05</t>
  </si>
  <si>
    <t>2026.03.12</t>
  </si>
  <si>
    <t>09:10</t>
  </si>
  <si>
    <t>2026.03.15</t>
  </si>
  <si>
    <t>2026.03.27</t>
  </si>
  <si>
    <t>2026.03.31</t>
  </si>
  <si>
    <t>2026.04.18</t>
  </si>
  <si>
    <t>2026.04.22</t>
  </si>
  <si>
    <t>2026.04.26</t>
  </si>
  <si>
    <t>2026.04.28</t>
  </si>
  <si>
    <t>2026.04.29</t>
  </si>
  <si>
    <t>2026.05.02</t>
  </si>
  <si>
    <t>2026.05.06</t>
  </si>
  <si>
    <t>kazánlekapcsolás</t>
  </si>
  <si>
    <t>2026.05.08</t>
  </si>
  <si>
    <t>2026.05.19</t>
  </si>
  <si>
    <t>2026.05.24</t>
  </si>
  <si>
    <t>17:00</t>
  </si>
  <si>
    <t>2026.05.25</t>
  </si>
  <si>
    <t>2026.05.27</t>
  </si>
  <si>
    <t>13:35</t>
  </si>
  <si>
    <t>2026.05.29</t>
  </si>
  <si>
    <t>2026.06.02</t>
  </si>
  <si>
    <t>2026.06.03</t>
  </si>
  <si>
    <t>2026.06.04</t>
  </si>
  <si>
    <t>2026.06.11</t>
  </si>
  <si>
    <t>2026.06.16</t>
  </si>
  <si>
    <t>2026.06.21</t>
  </si>
  <si>
    <t>2026.06.24</t>
  </si>
  <si>
    <t>2026.06.26</t>
  </si>
  <si>
    <t>2026.06.28</t>
  </si>
  <si>
    <t>2026.07.01</t>
  </si>
  <si>
    <t>2026.07.02</t>
  </si>
  <si>
    <t>2026.07.06</t>
  </si>
  <si>
    <t>2026.07.08</t>
  </si>
  <si>
    <t>2026.07.12</t>
  </si>
  <si>
    <t>2026.07.14</t>
  </si>
  <si>
    <t>2026.07.15</t>
  </si>
  <si>
    <t>12:45</t>
  </si>
  <si>
    <t>2026.07.17.</t>
  </si>
  <si>
    <t>2026.07.18</t>
  </si>
  <si>
    <t>2026.07.21</t>
  </si>
  <si>
    <t>2026.07.23</t>
  </si>
  <si>
    <t>2026.07.24</t>
  </si>
  <si>
    <t>2026.07.25</t>
  </si>
  <si>
    <t>2026.07.27</t>
  </si>
  <si>
    <t>2026.07.29</t>
  </si>
  <si>
    <t>08:15</t>
  </si>
  <si>
    <t>2026.07.30</t>
  </si>
  <si>
    <t>2026.07.31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</si>
</sst>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0" fontId="0" fillId="0" borderId="0" xfId="0" applyBorder="1"/>
    <xf numFmtId="0" fontId="0" fillId="0" borderId="0" xfId="0" applyAlignment="1">
      <alignment horizontal="center"/>
    </xf>
    <xf numFmtId="49" fontId="0" fillId="2" borderId="1" xfId="0" applyNumberFormat="1" applyFill="1" applyBorder="1"/>
    <xf numFmtId="0" fontId="0" fillId="2" borderId="1" xfId="0" applyFill="1" applyBorder="1"/>
    <xf numFmtId="49" fontId="0" fillId="3" borderId="1" xfId="0" applyNumberFormat="1" applyFill="1" applyBorder="1"/>
    <xf numFmtId="0" fontId="0" fillId="3" borderId="1" xfId="0" applyFill="1" applyBorder="1"/>
    <xf numFmtId="49" fontId="0" fillId="3" borderId="4" xfId="0" applyNumberFormat="1" applyFill="1" applyBorder="1"/>
    <xf numFmtId="0" fontId="0" fillId="3" borderId="4" xfId="0" applyFill="1" applyBorder="1"/>
    <xf numFmtId="0" fontId="0" fillId="0" borderId="5" xfId="0" applyFill="1" applyBorder="1"/>
    <xf numFmtId="0" fontId="0" fillId="4" borderId="0" xfId="0" applyFill="1"/>
    <xf numFmtId="0" fontId="2" fillId="0" borderId="0" xfId="0" applyFont="1"/>
    <xf numFmtId="49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  <xf numFmtId="49" fontId="0" fillId="5" borderId="0" xfId="0" applyNumberFormat="1" applyFill="1"/>
    <xf numFmtId="0" fontId="0" fillId="5" borderId="5" xfId="0" applyFill="1" applyBorder="1"/>
    <xf numFmtId="49" fontId="0" fillId="6" borderId="0" xfId="0" applyNumberFormat="1" applyFill="1"/>
    <xf numFmtId="0" fontId="0" fillId="6" borderId="5" xfId="0" applyFill="1" applyBorder="1"/>
    <xf numFmtId="0" fontId="0" fillId="6" borderId="0" xfId="0" applyFill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33" workbookViewId="0">
      <selection activeCell="G262" sqref="G262"/>
    </sheetView>
  </sheetViews>
  <sheetFormatPr defaultRowHeight="15" x14ac:dyDescent="0.25"/>
  <cols>
    <col min="1" max="1" width="10.140625" style="3" bestFit="1" customWidth="1"/>
    <col min="2" max="2" width="6.7109375" style="3" customWidth="1"/>
    <col min="3" max="3" width="24.42578125" bestFit="1" customWidth="1"/>
    <col min="4" max="4" width="11.140625" customWidth="1"/>
    <col min="5" max="5" width="22.7109375" bestFit="1" customWidth="1"/>
    <col min="7" max="7" width="20.140625" bestFit="1" customWidth="1"/>
    <col min="8" max="8" width="18.140625" bestFit="1" customWidth="1"/>
    <col min="9" max="9" width="16.28515625" bestFit="1" customWidth="1"/>
    <col min="10" max="11" width="52.42578125" bestFit="1" customWidth="1"/>
  </cols>
  <sheetData>
    <row r="1" spans="1:14" x14ac:dyDescent="0.25">
      <c r="A1" s="26" t="s">
        <v>2</v>
      </c>
      <c r="B1" s="27"/>
      <c r="C1" s="27"/>
      <c r="D1" s="27"/>
      <c r="E1" s="27"/>
      <c r="F1" s="27"/>
      <c r="G1" s="27"/>
      <c r="H1" s="27"/>
      <c r="I1" s="7"/>
    </row>
    <row r="2" spans="1:14" x14ac:dyDescent="0.25">
      <c r="A2" s="2" t="s">
        <v>7</v>
      </c>
      <c r="B2" s="2" t="s">
        <v>8</v>
      </c>
      <c r="C2" s="1" t="s">
        <v>3</v>
      </c>
      <c r="D2" s="1" t="s">
        <v>0</v>
      </c>
      <c r="E2" s="1" t="s">
        <v>4</v>
      </c>
      <c r="F2" s="1" t="s">
        <v>1</v>
      </c>
      <c r="G2" s="6" t="s">
        <v>42</v>
      </c>
      <c r="H2" s="6" t="s">
        <v>43</v>
      </c>
      <c r="I2" s="6" t="s">
        <v>123</v>
      </c>
    </row>
    <row r="3" spans="1:14" x14ac:dyDescent="0.25">
      <c r="A3" s="9" t="s">
        <v>9</v>
      </c>
      <c r="B3" s="9"/>
      <c r="C3" s="10">
        <v>44811</v>
      </c>
      <c r="D3" s="10">
        <v>0</v>
      </c>
      <c r="E3" s="10">
        <v>13344</v>
      </c>
      <c r="F3" s="10">
        <v>0</v>
      </c>
      <c r="G3" s="10"/>
      <c r="H3" s="10"/>
      <c r="I3" s="4"/>
      <c r="J3">
        <f>IF(I3&lt;0, ABS(I3)*5, IF(I3&lt;=2523, I3*36, 2523*36 + (I3-2523)*70.1))</f>
        <v>0</v>
      </c>
    </row>
    <row r="4" spans="1:14" x14ac:dyDescent="0.25">
      <c r="A4" s="9" t="s">
        <v>5</v>
      </c>
      <c r="B4" s="9" t="s">
        <v>6</v>
      </c>
      <c r="C4" s="10">
        <v>45384</v>
      </c>
      <c r="D4" s="10">
        <f>C4-$C$3</f>
        <v>573</v>
      </c>
      <c r="E4" s="10">
        <v>14872</v>
      </c>
      <c r="F4" s="10">
        <f>E4-$E$3</f>
        <v>1528</v>
      </c>
      <c r="G4" s="10">
        <v>14</v>
      </c>
      <c r="H4" s="10">
        <v>10</v>
      </c>
      <c r="I4" s="4">
        <f>D4-F4</f>
        <v>-955</v>
      </c>
      <c r="J4">
        <f t="shared" ref="J4:J67" si="0">IF(I4&lt;0, ABS(I4)*5, IF(I4&lt;=2523, I4*36, 2523*36 + (I4-2523)*70.1))</f>
        <v>4775</v>
      </c>
    </row>
    <row r="5" spans="1:14" x14ac:dyDescent="0.25">
      <c r="A5" s="9" t="s">
        <v>10</v>
      </c>
      <c r="B5" s="9" t="s">
        <v>11</v>
      </c>
      <c r="C5" s="10">
        <v>45413</v>
      </c>
      <c r="D5" s="10">
        <f>C5-$C$3</f>
        <v>602</v>
      </c>
      <c r="E5" s="10">
        <v>14812</v>
      </c>
      <c r="F5" s="10">
        <f>E5-$E$3</f>
        <v>1468</v>
      </c>
      <c r="G5" s="10">
        <v>15</v>
      </c>
      <c r="H5" s="10">
        <v>6</v>
      </c>
      <c r="I5" s="4">
        <f t="shared" ref="I5:I68" si="1">D5-F5</f>
        <v>-866</v>
      </c>
      <c r="J5">
        <f t="shared" si="0"/>
        <v>4330</v>
      </c>
    </row>
    <row r="6" spans="1:14" x14ac:dyDescent="0.25">
      <c r="A6" s="9" t="s">
        <v>10</v>
      </c>
      <c r="B6" s="9" t="s">
        <v>12</v>
      </c>
      <c r="C6" s="10">
        <v>45427</v>
      </c>
      <c r="D6" s="10">
        <f>C6-$C$3</f>
        <v>616</v>
      </c>
      <c r="E6" s="10">
        <v>14907</v>
      </c>
      <c r="F6" s="10">
        <f t="shared" ref="F6:F74" si="2">E6-$E$3</f>
        <v>1563</v>
      </c>
      <c r="G6" s="10">
        <v>15</v>
      </c>
      <c r="H6" s="10">
        <v>6</v>
      </c>
      <c r="I6" s="4">
        <f t="shared" si="1"/>
        <v>-947</v>
      </c>
      <c r="J6">
        <f t="shared" si="0"/>
        <v>4735</v>
      </c>
    </row>
    <row r="7" spans="1:14" x14ac:dyDescent="0.25">
      <c r="A7" s="9" t="s">
        <v>13</v>
      </c>
      <c r="B7" s="9" t="s">
        <v>14</v>
      </c>
      <c r="C7" s="10">
        <v>45453</v>
      </c>
      <c r="D7" s="10">
        <f t="shared" ref="D7:D74" si="3">C7-$C$3</f>
        <v>642</v>
      </c>
      <c r="E7" s="10">
        <v>14907</v>
      </c>
      <c r="F7" s="10">
        <f t="shared" si="2"/>
        <v>1563</v>
      </c>
      <c r="G7" s="10">
        <v>17</v>
      </c>
      <c r="H7" s="10">
        <v>6</v>
      </c>
      <c r="I7" s="4">
        <f t="shared" si="1"/>
        <v>-921</v>
      </c>
      <c r="J7">
        <f t="shared" si="0"/>
        <v>4605</v>
      </c>
    </row>
    <row r="8" spans="1:14" x14ac:dyDescent="0.25">
      <c r="A8" s="9" t="s">
        <v>13</v>
      </c>
      <c r="B8" s="9" t="s">
        <v>15</v>
      </c>
      <c r="C8" s="10">
        <v>45466</v>
      </c>
      <c r="D8" s="10">
        <f t="shared" si="3"/>
        <v>655</v>
      </c>
      <c r="E8" s="10">
        <v>14933</v>
      </c>
      <c r="F8" s="10">
        <f t="shared" si="2"/>
        <v>1589</v>
      </c>
      <c r="G8" s="10">
        <v>17</v>
      </c>
      <c r="H8" s="10">
        <v>6</v>
      </c>
      <c r="I8" s="4">
        <f t="shared" si="1"/>
        <v>-934</v>
      </c>
      <c r="J8">
        <f t="shared" si="0"/>
        <v>4670</v>
      </c>
      <c r="L8">
        <v>89</v>
      </c>
    </row>
    <row r="9" spans="1:14" x14ac:dyDescent="0.25">
      <c r="A9" s="9" t="s">
        <v>16</v>
      </c>
      <c r="B9" s="9" t="s">
        <v>17</v>
      </c>
      <c r="C9" s="10">
        <v>45498</v>
      </c>
      <c r="D9" s="10">
        <f t="shared" si="3"/>
        <v>687</v>
      </c>
      <c r="E9" s="10">
        <v>14933</v>
      </c>
      <c r="F9" s="10">
        <f t="shared" si="2"/>
        <v>1589</v>
      </c>
      <c r="G9" s="10">
        <v>16</v>
      </c>
      <c r="H9" s="10">
        <v>5</v>
      </c>
      <c r="I9" s="4">
        <f t="shared" si="1"/>
        <v>-902</v>
      </c>
      <c r="J9">
        <f t="shared" si="0"/>
        <v>4510</v>
      </c>
    </row>
    <row r="10" spans="1:14" x14ac:dyDescent="0.25">
      <c r="A10" s="9" t="s">
        <v>16</v>
      </c>
      <c r="B10" s="9" t="s">
        <v>12</v>
      </c>
      <c r="C10" s="10">
        <v>45507</v>
      </c>
      <c r="D10" s="10">
        <f t="shared" si="3"/>
        <v>696</v>
      </c>
      <c r="E10" s="10">
        <v>14951</v>
      </c>
      <c r="F10" s="10">
        <f t="shared" si="2"/>
        <v>1607</v>
      </c>
      <c r="G10" s="10">
        <v>16</v>
      </c>
      <c r="H10" s="10">
        <v>5</v>
      </c>
      <c r="I10" s="4">
        <f t="shared" si="1"/>
        <v>-911</v>
      </c>
      <c r="J10">
        <f t="shared" si="0"/>
        <v>4555</v>
      </c>
      <c r="N10" s="8"/>
    </row>
    <row r="11" spans="1:14" x14ac:dyDescent="0.25">
      <c r="A11" s="9" t="s">
        <v>18</v>
      </c>
      <c r="B11" s="9" t="s">
        <v>11</v>
      </c>
      <c r="C11" s="10">
        <v>45540</v>
      </c>
      <c r="D11" s="10">
        <f t="shared" si="3"/>
        <v>729</v>
      </c>
      <c r="E11" s="10">
        <v>14952</v>
      </c>
      <c r="F11" s="10">
        <f t="shared" si="2"/>
        <v>1608</v>
      </c>
      <c r="G11" s="10">
        <v>17</v>
      </c>
      <c r="H11" s="10">
        <v>3</v>
      </c>
      <c r="I11" s="4">
        <f t="shared" si="1"/>
        <v>-879</v>
      </c>
      <c r="J11">
        <f t="shared" si="0"/>
        <v>4395</v>
      </c>
      <c r="N11" s="8"/>
    </row>
    <row r="12" spans="1:14" x14ac:dyDescent="0.25">
      <c r="A12" s="9" t="s">
        <v>19</v>
      </c>
      <c r="B12" s="9" t="s">
        <v>20</v>
      </c>
      <c r="C12" s="10">
        <v>45561</v>
      </c>
      <c r="D12" s="10">
        <f t="shared" si="3"/>
        <v>750</v>
      </c>
      <c r="E12" s="10">
        <v>14983</v>
      </c>
      <c r="F12" s="10">
        <f t="shared" si="2"/>
        <v>1639</v>
      </c>
      <c r="G12" s="10">
        <v>19</v>
      </c>
      <c r="H12" s="10">
        <v>3</v>
      </c>
      <c r="I12" s="4">
        <f t="shared" si="1"/>
        <v>-889</v>
      </c>
      <c r="J12">
        <f t="shared" si="0"/>
        <v>4445</v>
      </c>
    </row>
    <row r="13" spans="1:14" x14ac:dyDescent="0.25">
      <c r="A13" s="9" t="s">
        <v>21</v>
      </c>
      <c r="B13" s="9" t="s">
        <v>22</v>
      </c>
      <c r="C13" s="10">
        <v>45624</v>
      </c>
      <c r="D13" s="10">
        <f t="shared" si="3"/>
        <v>813</v>
      </c>
      <c r="E13" s="10">
        <v>15009</v>
      </c>
      <c r="F13" s="10">
        <f t="shared" si="2"/>
        <v>1665</v>
      </c>
      <c r="G13" s="10">
        <v>16</v>
      </c>
      <c r="H13" s="10">
        <v>11</v>
      </c>
      <c r="I13" s="4">
        <f t="shared" si="1"/>
        <v>-852</v>
      </c>
      <c r="J13">
        <f t="shared" si="0"/>
        <v>4260</v>
      </c>
    </row>
    <row r="14" spans="1:14" x14ac:dyDescent="0.25">
      <c r="A14" s="9" t="s">
        <v>23</v>
      </c>
      <c r="B14" s="9" t="s">
        <v>24</v>
      </c>
      <c r="C14" s="10">
        <v>45651</v>
      </c>
      <c r="D14" s="10">
        <f t="shared" si="3"/>
        <v>840</v>
      </c>
      <c r="E14" s="10">
        <v>15010</v>
      </c>
      <c r="F14" s="10">
        <f t="shared" si="2"/>
        <v>1666</v>
      </c>
      <c r="G14" s="10">
        <v>18</v>
      </c>
      <c r="H14" s="10">
        <v>13</v>
      </c>
      <c r="I14" s="4">
        <f t="shared" si="1"/>
        <v>-826</v>
      </c>
      <c r="J14">
        <f t="shared" si="0"/>
        <v>4130</v>
      </c>
    </row>
    <row r="15" spans="1:14" x14ac:dyDescent="0.25">
      <c r="A15" s="9" t="s">
        <v>23</v>
      </c>
      <c r="B15" s="9" t="s">
        <v>25</v>
      </c>
      <c r="C15" s="10">
        <v>45662</v>
      </c>
      <c r="D15" s="10">
        <f t="shared" si="3"/>
        <v>851</v>
      </c>
      <c r="E15" s="10">
        <v>15017</v>
      </c>
      <c r="F15" s="10">
        <f t="shared" si="2"/>
        <v>1673</v>
      </c>
      <c r="G15" s="10">
        <v>18</v>
      </c>
      <c r="H15" s="10">
        <v>13</v>
      </c>
      <c r="I15" s="4">
        <f t="shared" si="1"/>
        <v>-822</v>
      </c>
      <c r="J15">
        <f t="shared" si="0"/>
        <v>4110</v>
      </c>
    </row>
    <row r="16" spans="1:14" x14ac:dyDescent="0.25">
      <c r="A16" s="9" t="s">
        <v>26</v>
      </c>
      <c r="B16" s="9" t="s">
        <v>27</v>
      </c>
      <c r="C16" s="10">
        <v>45696</v>
      </c>
      <c r="D16" s="10">
        <f t="shared" si="3"/>
        <v>885</v>
      </c>
      <c r="E16" s="10">
        <v>15025</v>
      </c>
      <c r="F16" s="10">
        <f t="shared" si="2"/>
        <v>1681</v>
      </c>
      <c r="G16" s="10">
        <v>17</v>
      </c>
      <c r="H16" s="10">
        <v>9</v>
      </c>
      <c r="I16" s="4">
        <f t="shared" si="1"/>
        <v>-796</v>
      </c>
      <c r="J16">
        <f t="shared" si="0"/>
        <v>3980</v>
      </c>
    </row>
    <row r="17" spans="1:10" x14ac:dyDescent="0.25">
      <c r="A17" s="9" t="s">
        <v>28</v>
      </c>
      <c r="B17" s="9" t="s">
        <v>29</v>
      </c>
      <c r="C17" s="10">
        <v>45753</v>
      </c>
      <c r="D17" s="10">
        <f t="shared" si="3"/>
        <v>942</v>
      </c>
      <c r="E17" s="10">
        <v>15061</v>
      </c>
      <c r="F17" s="10">
        <f t="shared" si="2"/>
        <v>1717</v>
      </c>
      <c r="G17" s="10">
        <v>17</v>
      </c>
      <c r="H17" s="10">
        <v>9</v>
      </c>
      <c r="I17" s="4">
        <f t="shared" si="1"/>
        <v>-775</v>
      </c>
      <c r="J17">
        <f t="shared" si="0"/>
        <v>3875</v>
      </c>
    </row>
    <row r="18" spans="1:10" x14ac:dyDescent="0.25">
      <c r="A18" s="9" t="s">
        <v>30</v>
      </c>
      <c r="B18" s="9" t="s">
        <v>31</v>
      </c>
      <c r="C18" s="10">
        <v>45772</v>
      </c>
      <c r="D18" s="10">
        <f t="shared" si="3"/>
        <v>961</v>
      </c>
      <c r="E18" s="10">
        <v>15067</v>
      </c>
      <c r="F18" s="10">
        <f t="shared" si="2"/>
        <v>1723</v>
      </c>
      <c r="G18" s="10">
        <v>17</v>
      </c>
      <c r="H18" s="10">
        <v>11</v>
      </c>
      <c r="I18" s="4">
        <f t="shared" si="1"/>
        <v>-762</v>
      </c>
      <c r="J18">
        <f t="shared" si="0"/>
        <v>3810</v>
      </c>
    </row>
    <row r="19" spans="1:10" x14ac:dyDescent="0.25">
      <c r="A19" s="9" t="s">
        <v>32</v>
      </c>
      <c r="B19" s="9" t="s">
        <v>33</v>
      </c>
      <c r="C19" s="10">
        <v>45811</v>
      </c>
      <c r="D19" s="10">
        <f t="shared" si="3"/>
        <v>1000</v>
      </c>
      <c r="E19" s="10">
        <v>15073</v>
      </c>
      <c r="F19" s="10">
        <f t="shared" si="2"/>
        <v>1729</v>
      </c>
      <c r="G19" s="10">
        <v>18</v>
      </c>
      <c r="H19" s="10">
        <v>12</v>
      </c>
      <c r="I19" s="4">
        <f t="shared" si="1"/>
        <v>-729</v>
      </c>
      <c r="J19">
        <f t="shared" si="0"/>
        <v>3645</v>
      </c>
    </row>
    <row r="20" spans="1:10" x14ac:dyDescent="0.25">
      <c r="A20" s="9" t="s">
        <v>34</v>
      </c>
      <c r="B20" s="9" t="s">
        <v>35</v>
      </c>
      <c r="C20" s="10">
        <v>45852</v>
      </c>
      <c r="D20" s="10">
        <f t="shared" si="3"/>
        <v>1041</v>
      </c>
      <c r="E20" s="10">
        <v>15099</v>
      </c>
      <c r="F20" s="10">
        <f t="shared" si="2"/>
        <v>1755</v>
      </c>
      <c r="G20" s="10">
        <v>18</v>
      </c>
      <c r="H20" s="10">
        <v>13</v>
      </c>
      <c r="I20" s="4">
        <f t="shared" si="1"/>
        <v>-714</v>
      </c>
      <c r="J20">
        <f t="shared" si="0"/>
        <v>3570</v>
      </c>
    </row>
    <row r="21" spans="1:10" x14ac:dyDescent="0.25">
      <c r="A21" s="9" t="s">
        <v>36</v>
      </c>
      <c r="B21" s="9" t="s">
        <v>12</v>
      </c>
      <c r="C21" s="10">
        <v>45888</v>
      </c>
      <c r="D21" s="10">
        <f t="shared" si="3"/>
        <v>1077</v>
      </c>
      <c r="E21" s="10">
        <v>15140</v>
      </c>
      <c r="F21" s="10">
        <f t="shared" si="2"/>
        <v>1796</v>
      </c>
      <c r="G21" s="10">
        <v>16</v>
      </c>
      <c r="H21" s="10">
        <v>10</v>
      </c>
      <c r="I21" s="4">
        <f t="shared" si="1"/>
        <v>-719</v>
      </c>
      <c r="J21">
        <f t="shared" si="0"/>
        <v>3595</v>
      </c>
    </row>
    <row r="22" spans="1:10" x14ac:dyDescent="0.25">
      <c r="A22" s="9" t="s">
        <v>37</v>
      </c>
      <c r="B22" s="9" t="s">
        <v>38</v>
      </c>
      <c r="C22" s="10">
        <v>45919</v>
      </c>
      <c r="D22" s="10">
        <f t="shared" si="3"/>
        <v>1108</v>
      </c>
      <c r="E22" s="10">
        <v>15155</v>
      </c>
      <c r="F22" s="10">
        <f t="shared" si="2"/>
        <v>1811</v>
      </c>
      <c r="G22" s="10">
        <v>16</v>
      </c>
      <c r="H22" s="10">
        <v>6</v>
      </c>
      <c r="I22" s="4">
        <f t="shared" si="1"/>
        <v>-703</v>
      </c>
      <c r="J22">
        <f t="shared" si="0"/>
        <v>3515</v>
      </c>
    </row>
    <row r="23" spans="1:10" x14ac:dyDescent="0.25">
      <c r="A23" s="9" t="s">
        <v>39</v>
      </c>
      <c r="B23" s="9" t="s">
        <v>40</v>
      </c>
      <c r="C23" s="10">
        <v>45951</v>
      </c>
      <c r="D23" s="10">
        <f t="shared" si="3"/>
        <v>1140</v>
      </c>
      <c r="E23" s="10">
        <v>15161</v>
      </c>
      <c r="F23" s="10">
        <f t="shared" si="2"/>
        <v>1817</v>
      </c>
      <c r="G23" s="10">
        <v>18</v>
      </c>
      <c r="H23" s="10">
        <v>3</v>
      </c>
      <c r="I23" s="4">
        <f t="shared" si="1"/>
        <v>-677</v>
      </c>
      <c r="J23">
        <f t="shared" si="0"/>
        <v>3385</v>
      </c>
    </row>
    <row r="24" spans="1:10" x14ac:dyDescent="0.25">
      <c r="A24" s="9" t="s">
        <v>39</v>
      </c>
      <c r="B24" s="9" t="s">
        <v>41</v>
      </c>
      <c r="C24" s="10">
        <v>45965</v>
      </c>
      <c r="D24" s="10">
        <f t="shared" si="3"/>
        <v>1154</v>
      </c>
      <c r="E24" s="10">
        <v>15181</v>
      </c>
      <c r="F24" s="10">
        <f t="shared" si="2"/>
        <v>1837</v>
      </c>
      <c r="G24" s="10">
        <v>18</v>
      </c>
      <c r="H24" s="10">
        <v>3</v>
      </c>
      <c r="I24" s="4">
        <f t="shared" si="1"/>
        <v>-683</v>
      </c>
      <c r="J24">
        <f t="shared" si="0"/>
        <v>3415</v>
      </c>
    </row>
    <row r="25" spans="1:10" x14ac:dyDescent="0.25">
      <c r="A25" s="9" t="s">
        <v>44</v>
      </c>
      <c r="B25" s="9" t="s">
        <v>45</v>
      </c>
      <c r="C25" s="10">
        <v>45985</v>
      </c>
      <c r="D25" s="10">
        <f t="shared" si="3"/>
        <v>1174</v>
      </c>
      <c r="E25" s="10">
        <v>15188</v>
      </c>
      <c r="F25" s="10">
        <f t="shared" si="2"/>
        <v>1844</v>
      </c>
      <c r="G25" s="10">
        <v>20</v>
      </c>
      <c r="H25" s="10">
        <v>6</v>
      </c>
      <c r="I25" s="4">
        <f t="shared" si="1"/>
        <v>-670</v>
      </c>
      <c r="J25">
        <f t="shared" si="0"/>
        <v>3350</v>
      </c>
    </row>
    <row r="26" spans="1:10" x14ac:dyDescent="0.25">
      <c r="A26" s="9" t="s">
        <v>44</v>
      </c>
      <c r="B26" s="9" t="s">
        <v>29</v>
      </c>
      <c r="C26" s="10">
        <v>46013</v>
      </c>
      <c r="D26" s="10">
        <f t="shared" si="3"/>
        <v>1202</v>
      </c>
      <c r="E26" s="10">
        <v>15201</v>
      </c>
      <c r="F26" s="10">
        <f t="shared" si="2"/>
        <v>1857</v>
      </c>
      <c r="G26" s="10">
        <v>20</v>
      </c>
      <c r="H26" s="10">
        <v>6</v>
      </c>
      <c r="I26" s="4">
        <f t="shared" si="1"/>
        <v>-655</v>
      </c>
      <c r="J26">
        <f t="shared" si="0"/>
        <v>3275</v>
      </c>
    </row>
    <row r="27" spans="1:10" x14ac:dyDescent="0.25">
      <c r="A27" s="9" t="s">
        <v>46</v>
      </c>
      <c r="B27" s="9" t="s">
        <v>47</v>
      </c>
      <c r="C27" s="10">
        <v>46027</v>
      </c>
      <c r="D27" s="10">
        <f t="shared" si="3"/>
        <v>1216</v>
      </c>
      <c r="E27" s="10">
        <v>15231</v>
      </c>
      <c r="F27" s="10">
        <f>E27-$E$3</f>
        <v>1887</v>
      </c>
      <c r="G27" s="10">
        <v>22</v>
      </c>
      <c r="H27" s="10">
        <v>8</v>
      </c>
      <c r="I27" s="4">
        <f t="shared" si="1"/>
        <v>-671</v>
      </c>
      <c r="J27">
        <f t="shared" si="0"/>
        <v>3355</v>
      </c>
    </row>
    <row r="28" spans="1:10" x14ac:dyDescent="0.25">
      <c r="A28" s="9" t="s">
        <v>48</v>
      </c>
      <c r="B28" s="9" t="s">
        <v>40</v>
      </c>
      <c r="C28" s="10">
        <v>46042</v>
      </c>
      <c r="D28" s="10">
        <f t="shared" si="3"/>
        <v>1231</v>
      </c>
      <c r="E28" s="10">
        <v>15235</v>
      </c>
      <c r="F28" s="10">
        <f t="shared" si="2"/>
        <v>1891</v>
      </c>
      <c r="G28" s="10">
        <v>20</v>
      </c>
      <c r="H28" s="10">
        <v>8</v>
      </c>
      <c r="I28" s="4">
        <f t="shared" si="1"/>
        <v>-660</v>
      </c>
      <c r="J28">
        <f t="shared" si="0"/>
        <v>3300</v>
      </c>
    </row>
    <row r="29" spans="1:10" x14ac:dyDescent="0.25">
      <c r="A29" s="9" t="s">
        <v>49</v>
      </c>
      <c r="B29" s="9" t="s">
        <v>31</v>
      </c>
      <c r="C29" s="10">
        <v>46059</v>
      </c>
      <c r="D29" s="10">
        <f t="shared" si="3"/>
        <v>1248</v>
      </c>
      <c r="E29" s="10">
        <v>15279</v>
      </c>
      <c r="F29" s="10">
        <f t="shared" si="2"/>
        <v>1935</v>
      </c>
      <c r="G29" s="10">
        <v>19</v>
      </c>
      <c r="H29" s="10">
        <v>9</v>
      </c>
      <c r="I29" s="4">
        <f t="shared" si="1"/>
        <v>-687</v>
      </c>
      <c r="J29">
        <f t="shared" si="0"/>
        <v>3435</v>
      </c>
    </row>
    <row r="30" spans="1:10" x14ac:dyDescent="0.25">
      <c r="A30" s="9" t="s">
        <v>49</v>
      </c>
      <c r="B30" s="9" t="s">
        <v>50</v>
      </c>
      <c r="C30" s="10">
        <v>46059</v>
      </c>
      <c r="D30" s="10">
        <f t="shared" si="3"/>
        <v>1248</v>
      </c>
      <c r="E30" s="10">
        <v>15282</v>
      </c>
      <c r="F30" s="10">
        <f t="shared" si="2"/>
        <v>1938</v>
      </c>
      <c r="G30" s="10">
        <v>19</v>
      </c>
      <c r="H30" s="10">
        <v>9</v>
      </c>
      <c r="I30" s="4">
        <f t="shared" si="1"/>
        <v>-690</v>
      </c>
      <c r="J30">
        <f t="shared" si="0"/>
        <v>3450</v>
      </c>
    </row>
    <row r="31" spans="1:10" x14ac:dyDescent="0.25">
      <c r="A31" s="9" t="s">
        <v>51</v>
      </c>
      <c r="B31" s="9" t="s">
        <v>50</v>
      </c>
      <c r="C31" s="10">
        <v>46083</v>
      </c>
      <c r="D31" s="10">
        <f t="shared" si="3"/>
        <v>1272</v>
      </c>
      <c r="E31" s="10">
        <v>15317</v>
      </c>
      <c r="F31" s="10">
        <f t="shared" si="2"/>
        <v>1973</v>
      </c>
      <c r="G31" s="10">
        <v>18</v>
      </c>
      <c r="H31" s="10">
        <v>8</v>
      </c>
      <c r="I31" s="4">
        <f t="shared" si="1"/>
        <v>-701</v>
      </c>
      <c r="J31">
        <f t="shared" si="0"/>
        <v>3505</v>
      </c>
    </row>
    <row r="32" spans="1:10" x14ac:dyDescent="0.25">
      <c r="A32" s="9" t="s">
        <v>52</v>
      </c>
      <c r="B32" s="9" t="s">
        <v>53</v>
      </c>
      <c r="C32" s="10">
        <v>46101</v>
      </c>
      <c r="D32" s="10">
        <f t="shared" si="3"/>
        <v>1290</v>
      </c>
      <c r="E32" s="10">
        <v>15317</v>
      </c>
      <c r="F32" s="10">
        <f t="shared" si="2"/>
        <v>1973</v>
      </c>
      <c r="G32" s="10">
        <v>20</v>
      </c>
      <c r="H32" s="10">
        <v>11</v>
      </c>
      <c r="I32" s="4">
        <f t="shared" si="1"/>
        <v>-683</v>
      </c>
      <c r="J32">
        <f t="shared" si="0"/>
        <v>3415</v>
      </c>
    </row>
    <row r="33" spans="1:10" x14ac:dyDescent="0.25">
      <c r="A33" s="9" t="s">
        <v>52</v>
      </c>
      <c r="B33" s="9" t="s">
        <v>50</v>
      </c>
      <c r="C33" s="10">
        <v>46115</v>
      </c>
      <c r="D33" s="10">
        <f t="shared" si="3"/>
        <v>1304</v>
      </c>
      <c r="E33" s="10">
        <v>15340</v>
      </c>
      <c r="F33" s="10">
        <f t="shared" si="2"/>
        <v>1996</v>
      </c>
      <c r="G33" s="10">
        <v>20</v>
      </c>
      <c r="H33" s="10">
        <v>11</v>
      </c>
      <c r="I33" s="4">
        <f t="shared" si="1"/>
        <v>-692</v>
      </c>
      <c r="J33">
        <f t="shared" si="0"/>
        <v>3460</v>
      </c>
    </row>
    <row r="34" spans="1:10" x14ac:dyDescent="0.25">
      <c r="A34" s="9" t="s">
        <v>54</v>
      </c>
      <c r="B34" s="9" t="s">
        <v>50</v>
      </c>
      <c r="C34" s="10">
        <v>46149</v>
      </c>
      <c r="D34" s="10">
        <f t="shared" si="3"/>
        <v>1338</v>
      </c>
      <c r="E34" s="10">
        <v>15360</v>
      </c>
      <c r="F34" s="10">
        <f t="shared" si="2"/>
        <v>2016</v>
      </c>
      <c r="G34" s="10">
        <v>20</v>
      </c>
      <c r="H34" s="10">
        <v>9</v>
      </c>
      <c r="I34" s="4">
        <f t="shared" si="1"/>
        <v>-678</v>
      </c>
      <c r="J34">
        <f t="shared" si="0"/>
        <v>3390</v>
      </c>
    </row>
    <row r="35" spans="1:10" x14ac:dyDescent="0.25">
      <c r="A35" s="9" t="s">
        <v>55</v>
      </c>
      <c r="B35" s="9" t="s">
        <v>50</v>
      </c>
      <c r="C35" s="10">
        <v>46185</v>
      </c>
      <c r="D35" s="10">
        <f t="shared" si="3"/>
        <v>1374</v>
      </c>
      <c r="E35" s="10">
        <v>15385</v>
      </c>
      <c r="F35" s="10">
        <f t="shared" si="2"/>
        <v>2041</v>
      </c>
      <c r="G35" s="10">
        <v>21</v>
      </c>
      <c r="H35" s="10">
        <v>7</v>
      </c>
      <c r="I35" s="4">
        <f t="shared" si="1"/>
        <v>-667</v>
      </c>
      <c r="J35">
        <f t="shared" si="0"/>
        <v>3335</v>
      </c>
    </row>
    <row r="36" spans="1:10" x14ac:dyDescent="0.25">
      <c r="A36" s="9" t="s">
        <v>56</v>
      </c>
      <c r="B36" s="9" t="s">
        <v>58</v>
      </c>
      <c r="C36" s="10">
        <v>46239</v>
      </c>
      <c r="D36" s="10">
        <f t="shared" si="3"/>
        <v>1428</v>
      </c>
      <c r="E36" s="10">
        <v>15404</v>
      </c>
      <c r="F36" s="10">
        <f t="shared" si="2"/>
        <v>2060</v>
      </c>
      <c r="G36" s="10">
        <v>19</v>
      </c>
      <c r="H36" s="10">
        <v>7</v>
      </c>
      <c r="I36" s="4">
        <f t="shared" si="1"/>
        <v>-632</v>
      </c>
      <c r="J36">
        <f t="shared" si="0"/>
        <v>3160</v>
      </c>
    </row>
    <row r="37" spans="1:10" x14ac:dyDescent="0.25">
      <c r="A37" s="9" t="s">
        <v>57</v>
      </c>
      <c r="B37" s="9" t="s">
        <v>59</v>
      </c>
      <c r="C37" s="10">
        <v>46251</v>
      </c>
      <c r="D37" s="10">
        <f t="shared" si="3"/>
        <v>1440</v>
      </c>
      <c r="E37" s="10">
        <v>15423</v>
      </c>
      <c r="F37" s="10">
        <f t="shared" si="2"/>
        <v>2079</v>
      </c>
      <c r="G37" s="10">
        <v>19</v>
      </c>
      <c r="H37" s="10">
        <v>7</v>
      </c>
      <c r="I37" s="4">
        <f t="shared" si="1"/>
        <v>-639</v>
      </c>
      <c r="J37">
        <f t="shared" si="0"/>
        <v>3195</v>
      </c>
    </row>
    <row r="38" spans="1:10" x14ac:dyDescent="0.25">
      <c r="A38" s="9" t="s">
        <v>60</v>
      </c>
      <c r="B38" s="9" t="s">
        <v>59</v>
      </c>
      <c r="C38" s="10">
        <v>46283</v>
      </c>
      <c r="D38" s="10">
        <f t="shared" si="3"/>
        <v>1472</v>
      </c>
      <c r="E38" s="10">
        <v>15480</v>
      </c>
      <c r="F38" s="10">
        <f t="shared" si="2"/>
        <v>2136</v>
      </c>
      <c r="G38" s="10">
        <v>21</v>
      </c>
      <c r="H38" s="10">
        <v>6</v>
      </c>
      <c r="I38" s="4">
        <f t="shared" si="1"/>
        <v>-664</v>
      </c>
      <c r="J38">
        <f t="shared" si="0"/>
        <v>3320</v>
      </c>
    </row>
    <row r="39" spans="1:10" x14ac:dyDescent="0.25">
      <c r="A39" s="9" t="s">
        <v>61</v>
      </c>
      <c r="B39" s="9" t="s">
        <v>50</v>
      </c>
      <c r="C39" s="10">
        <v>46316</v>
      </c>
      <c r="D39" s="10">
        <f t="shared" si="3"/>
        <v>1505</v>
      </c>
      <c r="E39" s="10">
        <v>15510</v>
      </c>
      <c r="F39" s="10">
        <f t="shared" si="2"/>
        <v>2166</v>
      </c>
      <c r="G39" s="10">
        <v>21</v>
      </c>
      <c r="H39" s="10">
        <v>6</v>
      </c>
      <c r="I39" s="4">
        <f t="shared" si="1"/>
        <v>-661</v>
      </c>
      <c r="J39">
        <f t="shared" si="0"/>
        <v>3305</v>
      </c>
    </row>
    <row r="40" spans="1:10" x14ac:dyDescent="0.25">
      <c r="A40" s="9" t="s">
        <v>62</v>
      </c>
      <c r="B40" s="9" t="s">
        <v>50</v>
      </c>
      <c r="C40" s="10">
        <v>46356</v>
      </c>
      <c r="D40" s="10">
        <f t="shared" si="3"/>
        <v>1545</v>
      </c>
      <c r="E40" s="10">
        <v>15533</v>
      </c>
      <c r="F40" s="10">
        <f t="shared" si="2"/>
        <v>2189</v>
      </c>
      <c r="G40" s="10">
        <v>19</v>
      </c>
      <c r="H40" s="10">
        <v>6</v>
      </c>
      <c r="I40" s="4">
        <f t="shared" si="1"/>
        <v>-644</v>
      </c>
      <c r="J40">
        <f t="shared" si="0"/>
        <v>3220</v>
      </c>
    </row>
    <row r="41" spans="1:10" x14ac:dyDescent="0.25">
      <c r="A41" s="9" t="s">
        <v>63</v>
      </c>
      <c r="B41" s="9" t="s">
        <v>41</v>
      </c>
      <c r="C41" s="10">
        <v>46408</v>
      </c>
      <c r="D41" s="10">
        <f t="shared" si="3"/>
        <v>1597</v>
      </c>
      <c r="E41" s="10">
        <v>15560</v>
      </c>
      <c r="F41" s="10">
        <f t="shared" si="2"/>
        <v>2216</v>
      </c>
      <c r="G41" s="10">
        <v>15</v>
      </c>
      <c r="H41" s="10">
        <v>3</v>
      </c>
      <c r="I41" s="4">
        <f t="shared" si="1"/>
        <v>-619</v>
      </c>
      <c r="J41">
        <f t="shared" si="0"/>
        <v>3095</v>
      </c>
    </row>
    <row r="42" spans="1:10" x14ac:dyDescent="0.25">
      <c r="A42" s="9" t="s">
        <v>64</v>
      </c>
      <c r="B42" s="9" t="s">
        <v>65</v>
      </c>
      <c r="C42" s="10">
        <v>46504</v>
      </c>
      <c r="D42" s="10">
        <f t="shared" si="3"/>
        <v>1693</v>
      </c>
      <c r="E42" s="10">
        <v>15584</v>
      </c>
      <c r="F42" s="10">
        <f t="shared" si="2"/>
        <v>2240</v>
      </c>
      <c r="G42" s="10">
        <v>16</v>
      </c>
      <c r="H42" s="10">
        <v>6</v>
      </c>
      <c r="I42" s="4">
        <f t="shared" si="1"/>
        <v>-547</v>
      </c>
      <c r="J42">
        <f t="shared" si="0"/>
        <v>2735</v>
      </c>
    </row>
    <row r="43" spans="1:10" x14ac:dyDescent="0.25">
      <c r="A43" s="9" t="s">
        <v>66</v>
      </c>
      <c r="B43" s="9" t="s">
        <v>67</v>
      </c>
      <c r="C43" s="10">
        <v>46569</v>
      </c>
      <c r="D43" s="10">
        <f t="shared" si="3"/>
        <v>1758</v>
      </c>
      <c r="E43" s="10">
        <v>15595</v>
      </c>
      <c r="F43" s="10">
        <f t="shared" si="2"/>
        <v>2251</v>
      </c>
      <c r="G43" s="10">
        <v>17</v>
      </c>
      <c r="H43" s="10">
        <v>6</v>
      </c>
      <c r="I43" s="4">
        <f t="shared" si="1"/>
        <v>-493</v>
      </c>
      <c r="J43">
        <f t="shared" si="0"/>
        <v>2465</v>
      </c>
    </row>
    <row r="44" spans="1:10" x14ac:dyDescent="0.25">
      <c r="A44" s="9" t="s">
        <v>68</v>
      </c>
      <c r="B44" s="9" t="s">
        <v>15</v>
      </c>
      <c r="C44" s="10">
        <v>46634</v>
      </c>
      <c r="D44" s="10">
        <f t="shared" si="3"/>
        <v>1823</v>
      </c>
      <c r="E44" s="10">
        <v>15598</v>
      </c>
      <c r="F44" s="10">
        <f t="shared" si="2"/>
        <v>2254</v>
      </c>
      <c r="G44" s="10">
        <v>17</v>
      </c>
      <c r="H44" s="10">
        <v>13</v>
      </c>
      <c r="I44" s="4">
        <f t="shared" si="1"/>
        <v>-431</v>
      </c>
      <c r="J44">
        <f t="shared" si="0"/>
        <v>2155</v>
      </c>
    </row>
    <row r="45" spans="1:10" x14ac:dyDescent="0.25">
      <c r="A45" s="9" t="s">
        <v>69</v>
      </c>
      <c r="B45" s="9" t="s">
        <v>70</v>
      </c>
      <c r="C45" s="10">
        <v>46682</v>
      </c>
      <c r="D45" s="10">
        <f t="shared" si="3"/>
        <v>1871</v>
      </c>
      <c r="E45" s="10">
        <v>15602</v>
      </c>
      <c r="F45" s="10">
        <f t="shared" si="2"/>
        <v>2258</v>
      </c>
      <c r="G45" s="10"/>
      <c r="H45" s="10"/>
      <c r="I45" s="4">
        <f t="shared" si="1"/>
        <v>-387</v>
      </c>
      <c r="J45">
        <f t="shared" si="0"/>
        <v>1935</v>
      </c>
    </row>
    <row r="46" spans="1:10" x14ac:dyDescent="0.25">
      <c r="A46" s="9" t="s">
        <v>71</v>
      </c>
      <c r="B46" s="9" t="s">
        <v>72</v>
      </c>
      <c r="C46" s="10">
        <v>46718</v>
      </c>
      <c r="D46" s="10">
        <f t="shared" si="3"/>
        <v>1907</v>
      </c>
      <c r="E46" s="10">
        <v>15625</v>
      </c>
      <c r="F46" s="10">
        <f t="shared" si="2"/>
        <v>2281</v>
      </c>
      <c r="G46" s="10"/>
      <c r="H46" s="10"/>
      <c r="I46" s="4">
        <f t="shared" si="1"/>
        <v>-374</v>
      </c>
      <c r="J46">
        <f t="shared" si="0"/>
        <v>1870</v>
      </c>
    </row>
    <row r="47" spans="1:10" x14ac:dyDescent="0.25">
      <c r="A47" s="9" t="s">
        <v>73</v>
      </c>
      <c r="B47" s="9" t="s">
        <v>65</v>
      </c>
      <c r="C47" s="10">
        <v>46945</v>
      </c>
      <c r="D47" s="10">
        <f t="shared" si="3"/>
        <v>2134</v>
      </c>
      <c r="E47" s="10">
        <v>15633</v>
      </c>
      <c r="F47" s="10">
        <f t="shared" si="2"/>
        <v>2289</v>
      </c>
      <c r="G47" s="10"/>
      <c r="H47" s="10"/>
      <c r="I47" s="4">
        <f t="shared" si="1"/>
        <v>-155</v>
      </c>
      <c r="J47">
        <f t="shared" si="0"/>
        <v>775</v>
      </c>
    </row>
    <row r="48" spans="1:10" x14ac:dyDescent="0.25">
      <c r="A48" s="9" t="s">
        <v>74</v>
      </c>
      <c r="B48" s="9" t="s">
        <v>67</v>
      </c>
      <c r="C48" s="10">
        <v>47272</v>
      </c>
      <c r="D48" s="10">
        <f t="shared" si="3"/>
        <v>2461</v>
      </c>
      <c r="E48" s="10">
        <v>15651</v>
      </c>
      <c r="F48" s="10">
        <f t="shared" si="2"/>
        <v>2307</v>
      </c>
      <c r="G48" s="10"/>
      <c r="H48" s="10"/>
      <c r="I48" s="4">
        <f t="shared" si="1"/>
        <v>154</v>
      </c>
      <c r="J48">
        <f t="shared" si="0"/>
        <v>5544</v>
      </c>
    </row>
    <row r="49" spans="1:14" x14ac:dyDescent="0.25">
      <c r="A49" s="9" t="s">
        <v>75</v>
      </c>
      <c r="B49" s="9" t="s">
        <v>76</v>
      </c>
      <c r="C49" s="10">
        <v>47649</v>
      </c>
      <c r="D49" s="10">
        <f t="shared" si="3"/>
        <v>2838</v>
      </c>
      <c r="E49" s="10">
        <v>15667</v>
      </c>
      <c r="F49" s="10">
        <f t="shared" si="2"/>
        <v>2323</v>
      </c>
      <c r="G49" s="10"/>
      <c r="H49" s="10"/>
      <c r="I49" s="4">
        <f t="shared" si="1"/>
        <v>515</v>
      </c>
      <c r="J49">
        <f t="shared" si="0"/>
        <v>18540</v>
      </c>
      <c r="N49">
        <v>8111</v>
      </c>
    </row>
    <row r="50" spans="1:14" x14ac:dyDescent="0.25">
      <c r="A50" s="9" t="s">
        <v>77</v>
      </c>
      <c r="B50" s="9" t="s">
        <v>38</v>
      </c>
      <c r="C50" s="10">
        <v>47725</v>
      </c>
      <c r="D50" s="10">
        <f t="shared" si="3"/>
        <v>2914</v>
      </c>
      <c r="E50" s="10">
        <v>15682</v>
      </c>
      <c r="F50" s="10">
        <f t="shared" si="2"/>
        <v>2338</v>
      </c>
      <c r="G50" s="10"/>
      <c r="H50" s="10"/>
      <c r="I50" s="4">
        <f t="shared" si="1"/>
        <v>576</v>
      </c>
      <c r="J50">
        <f t="shared" si="0"/>
        <v>20736</v>
      </c>
    </row>
    <row r="51" spans="1:14" x14ac:dyDescent="0.25">
      <c r="A51" s="9" t="s">
        <v>78</v>
      </c>
      <c r="B51" s="9" t="s">
        <v>79</v>
      </c>
      <c r="C51" s="10">
        <v>48230</v>
      </c>
      <c r="D51" s="10">
        <f t="shared" si="3"/>
        <v>3419</v>
      </c>
      <c r="E51" s="10">
        <v>15712</v>
      </c>
      <c r="F51" s="10">
        <f t="shared" si="2"/>
        <v>2368</v>
      </c>
      <c r="G51" s="10"/>
      <c r="H51" s="10"/>
      <c r="I51" s="4">
        <f t="shared" si="1"/>
        <v>1051</v>
      </c>
      <c r="J51">
        <f t="shared" si="0"/>
        <v>37836</v>
      </c>
    </row>
    <row r="52" spans="1:14" x14ac:dyDescent="0.25">
      <c r="A52" s="9" t="s">
        <v>80</v>
      </c>
      <c r="B52" s="9" t="s">
        <v>81</v>
      </c>
      <c r="C52" s="10">
        <v>48613</v>
      </c>
      <c r="D52" s="10">
        <f t="shared" si="3"/>
        <v>3802</v>
      </c>
      <c r="E52" s="10">
        <v>15719</v>
      </c>
      <c r="F52" s="10">
        <f t="shared" si="2"/>
        <v>2375</v>
      </c>
      <c r="G52" s="10"/>
      <c r="H52" s="10"/>
      <c r="I52" s="4">
        <f t="shared" si="1"/>
        <v>1427</v>
      </c>
      <c r="J52">
        <f t="shared" si="0"/>
        <v>51372</v>
      </c>
      <c r="L52">
        <v>5588</v>
      </c>
    </row>
    <row r="53" spans="1:14" x14ac:dyDescent="0.25">
      <c r="A53" s="9" t="s">
        <v>82</v>
      </c>
      <c r="B53" s="9" t="s">
        <v>29</v>
      </c>
      <c r="C53" s="10">
        <v>49761</v>
      </c>
      <c r="D53" s="10">
        <f t="shared" si="3"/>
        <v>4950</v>
      </c>
      <c r="E53" s="10">
        <v>15739</v>
      </c>
      <c r="F53" s="10">
        <f t="shared" si="2"/>
        <v>2395</v>
      </c>
      <c r="G53" s="10"/>
      <c r="H53" s="10"/>
      <c r="I53" s="4">
        <f t="shared" si="1"/>
        <v>2555</v>
      </c>
      <c r="J53">
        <f t="shared" si="0"/>
        <v>93071.2</v>
      </c>
    </row>
    <row r="54" spans="1:14" x14ac:dyDescent="0.25">
      <c r="A54" s="9" t="s">
        <v>83</v>
      </c>
      <c r="B54" s="9" t="s">
        <v>84</v>
      </c>
      <c r="C54" s="10">
        <v>50125</v>
      </c>
      <c r="D54" s="10">
        <f t="shared" si="3"/>
        <v>5314</v>
      </c>
      <c r="E54" s="10">
        <v>15753</v>
      </c>
      <c r="F54" s="10">
        <f t="shared" si="2"/>
        <v>2409</v>
      </c>
      <c r="G54" s="10"/>
      <c r="H54" s="10"/>
      <c r="I54" s="4">
        <f t="shared" si="1"/>
        <v>2905</v>
      </c>
      <c r="J54">
        <f t="shared" si="0"/>
        <v>117606.2</v>
      </c>
      <c r="L54">
        <v>400000</v>
      </c>
      <c r="M54">
        <v>90828</v>
      </c>
    </row>
    <row r="55" spans="1:14" x14ac:dyDescent="0.25">
      <c r="A55" s="9" t="s">
        <v>85</v>
      </c>
      <c r="B55" s="9" t="s">
        <v>86</v>
      </c>
      <c r="C55" s="10">
        <v>50731</v>
      </c>
      <c r="D55" s="10">
        <f t="shared" si="3"/>
        <v>5920</v>
      </c>
      <c r="E55" s="10">
        <v>15764</v>
      </c>
      <c r="F55" s="10">
        <f t="shared" si="2"/>
        <v>2420</v>
      </c>
      <c r="G55" s="10"/>
      <c r="H55" s="10"/>
      <c r="I55" s="4">
        <f t="shared" si="1"/>
        <v>3500</v>
      </c>
      <c r="J55">
        <f t="shared" si="0"/>
        <v>159315.70000000001</v>
      </c>
    </row>
    <row r="56" spans="1:14" x14ac:dyDescent="0.25">
      <c r="A56" s="9" t="s">
        <v>87</v>
      </c>
      <c r="B56" s="9" t="s">
        <v>88</v>
      </c>
      <c r="C56" s="10">
        <v>51975</v>
      </c>
      <c r="D56" s="10">
        <f t="shared" si="3"/>
        <v>7164</v>
      </c>
      <c r="E56" s="10">
        <v>15781</v>
      </c>
      <c r="F56" s="10">
        <f t="shared" si="2"/>
        <v>2437</v>
      </c>
      <c r="G56" s="10"/>
      <c r="H56" s="10"/>
      <c r="I56" s="4">
        <f t="shared" si="1"/>
        <v>4727</v>
      </c>
      <c r="J56">
        <f t="shared" si="0"/>
        <v>245328.4</v>
      </c>
    </row>
    <row r="57" spans="1:14" x14ac:dyDescent="0.25">
      <c r="A57" s="9" t="s">
        <v>89</v>
      </c>
      <c r="B57" s="9" t="s">
        <v>90</v>
      </c>
      <c r="C57" s="10">
        <v>53250</v>
      </c>
      <c r="D57" s="10">
        <f t="shared" si="3"/>
        <v>8439</v>
      </c>
      <c r="E57" s="10">
        <v>15809</v>
      </c>
      <c r="F57" s="10">
        <f t="shared" si="2"/>
        <v>2465</v>
      </c>
      <c r="G57" s="10"/>
      <c r="H57" s="10"/>
      <c r="I57" s="4">
        <f t="shared" si="1"/>
        <v>5974</v>
      </c>
      <c r="J57">
        <f t="shared" si="0"/>
        <v>332743.09999999998</v>
      </c>
    </row>
    <row r="58" spans="1:14" x14ac:dyDescent="0.25">
      <c r="A58" s="9" t="s">
        <v>91</v>
      </c>
      <c r="B58" s="9" t="s">
        <v>92</v>
      </c>
      <c r="C58" s="10">
        <v>55478</v>
      </c>
      <c r="D58" s="10">
        <f t="shared" si="3"/>
        <v>10667</v>
      </c>
      <c r="E58" s="10">
        <v>15900</v>
      </c>
      <c r="F58" s="10">
        <f t="shared" si="2"/>
        <v>2556</v>
      </c>
      <c r="G58" s="10"/>
      <c r="H58" s="10"/>
      <c r="I58" s="4">
        <f t="shared" si="1"/>
        <v>8111</v>
      </c>
      <c r="J58">
        <f t="shared" si="0"/>
        <v>482546.8</v>
      </c>
    </row>
    <row r="59" spans="1:14" x14ac:dyDescent="0.25">
      <c r="A59" s="9" t="s">
        <v>93</v>
      </c>
      <c r="B59" s="9" t="s">
        <v>35</v>
      </c>
      <c r="C59" s="10">
        <v>57731</v>
      </c>
      <c r="D59" s="10">
        <f t="shared" si="3"/>
        <v>12920</v>
      </c>
      <c r="E59" s="10">
        <v>15949</v>
      </c>
      <c r="F59" s="10">
        <f t="shared" si="2"/>
        <v>2605</v>
      </c>
      <c r="G59" s="10"/>
      <c r="H59" s="10"/>
      <c r="I59" s="4">
        <f t="shared" si="1"/>
        <v>10315</v>
      </c>
      <c r="J59">
        <f t="shared" si="0"/>
        <v>637047.19999999995</v>
      </c>
    </row>
    <row r="60" spans="1:14" x14ac:dyDescent="0.25">
      <c r="A60" s="9" t="s">
        <v>94</v>
      </c>
      <c r="B60" s="9" t="s">
        <v>95</v>
      </c>
      <c r="C60" s="10">
        <v>58900</v>
      </c>
      <c r="D60" s="10">
        <f t="shared" si="3"/>
        <v>14089</v>
      </c>
      <c r="E60" s="10">
        <v>16019</v>
      </c>
      <c r="F60" s="10">
        <f t="shared" si="2"/>
        <v>2675</v>
      </c>
      <c r="G60" s="10"/>
      <c r="H60" s="10"/>
      <c r="I60" s="4">
        <f t="shared" si="1"/>
        <v>11414</v>
      </c>
      <c r="J60">
        <f t="shared" si="0"/>
        <v>714087.1</v>
      </c>
    </row>
    <row r="61" spans="1:14" x14ac:dyDescent="0.25">
      <c r="A61" s="9" t="s">
        <v>96</v>
      </c>
      <c r="B61" s="9" t="s">
        <v>97</v>
      </c>
      <c r="C61" s="10">
        <v>59214</v>
      </c>
      <c r="D61" s="10">
        <f t="shared" si="3"/>
        <v>14403</v>
      </c>
      <c r="E61" s="10">
        <v>16229</v>
      </c>
      <c r="F61" s="10">
        <f t="shared" si="2"/>
        <v>2885</v>
      </c>
      <c r="G61" s="10"/>
      <c r="H61" s="10"/>
      <c r="I61" s="4">
        <f t="shared" si="1"/>
        <v>11518</v>
      </c>
      <c r="J61">
        <f t="shared" si="0"/>
        <v>721377.5</v>
      </c>
    </row>
    <row r="62" spans="1:14" x14ac:dyDescent="0.25">
      <c r="A62" s="9" t="s">
        <v>98</v>
      </c>
      <c r="B62" s="9" t="s">
        <v>99</v>
      </c>
      <c r="C62" s="10">
        <v>59324</v>
      </c>
      <c r="D62" s="10">
        <f t="shared" si="3"/>
        <v>14513</v>
      </c>
      <c r="E62" s="10">
        <v>16304</v>
      </c>
      <c r="F62" s="10">
        <f t="shared" si="2"/>
        <v>2960</v>
      </c>
      <c r="G62" s="10"/>
      <c r="H62" s="10"/>
      <c r="I62" s="4">
        <f t="shared" si="1"/>
        <v>11553</v>
      </c>
      <c r="J62">
        <f t="shared" si="0"/>
        <v>723831</v>
      </c>
    </row>
    <row r="63" spans="1:14" x14ac:dyDescent="0.25">
      <c r="A63" s="9" t="s">
        <v>100</v>
      </c>
      <c r="B63" s="9" t="s">
        <v>101</v>
      </c>
      <c r="C63" s="10">
        <v>61210</v>
      </c>
      <c r="D63" s="10">
        <f t="shared" si="3"/>
        <v>16399</v>
      </c>
      <c r="E63" s="10">
        <v>16663</v>
      </c>
      <c r="F63" s="10">
        <f t="shared" si="2"/>
        <v>3319</v>
      </c>
      <c r="G63" s="10"/>
      <c r="H63" s="10"/>
      <c r="I63" s="4">
        <f t="shared" si="1"/>
        <v>13080</v>
      </c>
      <c r="J63">
        <f t="shared" si="0"/>
        <v>830873.7</v>
      </c>
    </row>
    <row r="64" spans="1:14" x14ac:dyDescent="0.25">
      <c r="A64" s="9" t="s">
        <v>104</v>
      </c>
      <c r="B64" s="9" t="s">
        <v>102</v>
      </c>
      <c r="C64" s="10">
        <v>63439</v>
      </c>
      <c r="D64" s="10">
        <f t="shared" si="3"/>
        <v>18628</v>
      </c>
      <c r="E64" s="10">
        <v>17494</v>
      </c>
      <c r="F64" s="10">
        <f t="shared" si="2"/>
        <v>4150</v>
      </c>
      <c r="G64" s="10"/>
      <c r="H64" s="10"/>
      <c r="I64" s="4">
        <f t="shared" si="1"/>
        <v>14478</v>
      </c>
      <c r="J64">
        <f t="shared" si="0"/>
        <v>928873.49999999988</v>
      </c>
    </row>
    <row r="65" spans="1:11" x14ac:dyDescent="0.25">
      <c r="A65" s="9" t="s">
        <v>103</v>
      </c>
      <c r="B65" s="9" t="s">
        <v>105</v>
      </c>
      <c r="C65" s="10">
        <v>63827</v>
      </c>
      <c r="D65" s="10">
        <f t="shared" si="3"/>
        <v>19016</v>
      </c>
      <c r="E65" s="10">
        <v>17761</v>
      </c>
      <c r="F65" s="10">
        <f t="shared" si="2"/>
        <v>4417</v>
      </c>
      <c r="G65" s="10"/>
      <c r="H65" s="10"/>
      <c r="I65" s="4">
        <f t="shared" si="1"/>
        <v>14599</v>
      </c>
      <c r="J65">
        <f t="shared" si="0"/>
        <v>937355.6</v>
      </c>
      <c r="K65" t="s">
        <v>124</v>
      </c>
    </row>
    <row r="66" spans="1:11" x14ac:dyDescent="0.25">
      <c r="A66" s="9" t="s">
        <v>106</v>
      </c>
      <c r="B66" s="9" t="s">
        <v>107</v>
      </c>
      <c r="C66" s="10">
        <v>63875</v>
      </c>
      <c r="D66" s="10">
        <f t="shared" si="3"/>
        <v>19064</v>
      </c>
      <c r="E66" s="10">
        <v>17870</v>
      </c>
      <c r="F66" s="10">
        <f t="shared" si="2"/>
        <v>4526</v>
      </c>
      <c r="G66" s="10"/>
      <c r="H66" s="10"/>
      <c r="I66" s="4">
        <f t="shared" si="1"/>
        <v>14538</v>
      </c>
      <c r="J66">
        <f t="shared" si="0"/>
        <v>933079.49999999988</v>
      </c>
    </row>
    <row r="67" spans="1:11" x14ac:dyDescent="0.25">
      <c r="A67" s="9" t="s">
        <v>108</v>
      </c>
      <c r="B67" s="9" t="s">
        <v>41</v>
      </c>
      <c r="C67" s="10">
        <v>64011</v>
      </c>
      <c r="D67" s="10">
        <f t="shared" si="3"/>
        <v>19200</v>
      </c>
      <c r="E67" s="10">
        <v>18143</v>
      </c>
      <c r="F67" s="10">
        <f t="shared" si="2"/>
        <v>4799</v>
      </c>
      <c r="G67" s="10"/>
      <c r="H67" s="10"/>
      <c r="I67" s="4">
        <f t="shared" si="1"/>
        <v>14401</v>
      </c>
      <c r="J67">
        <f t="shared" si="0"/>
        <v>923475.79999999993</v>
      </c>
    </row>
    <row r="68" spans="1:11" x14ac:dyDescent="0.25">
      <c r="A68" s="9" t="s">
        <v>109</v>
      </c>
      <c r="B68" s="9" t="s">
        <v>110</v>
      </c>
      <c r="C68" s="10">
        <v>64188</v>
      </c>
      <c r="D68" s="10">
        <f t="shared" si="3"/>
        <v>19377</v>
      </c>
      <c r="E68" s="10">
        <v>18497</v>
      </c>
      <c r="F68" s="10">
        <f t="shared" si="2"/>
        <v>5153</v>
      </c>
      <c r="G68" s="10"/>
      <c r="H68" s="10"/>
      <c r="I68" s="4">
        <f t="shared" si="1"/>
        <v>14224</v>
      </c>
      <c r="J68">
        <f t="shared" ref="J68:J131" si="4">IF(I68&lt;0, ABS(I68)*5, IF(I68&lt;=2523, I68*36, 2523*36 + (I68-2523)*70.1))</f>
        <v>911068.1</v>
      </c>
    </row>
    <row r="69" spans="1:11" x14ac:dyDescent="0.25">
      <c r="A69" s="9" t="s">
        <v>111</v>
      </c>
      <c r="B69" s="9" t="s">
        <v>112</v>
      </c>
      <c r="C69" s="10">
        <v>64451</v>
      </c>
      <c r="D69" s="10">
        <f t="shared" si="3"/>
        <v>19640</v>
      </c>
      <c r="E69" s="10">
        <v>19205</v>
      </c>
      <c r="F69" s="10">
        <f t="shared" si="2"/>
        <v>5861</v>
      </c>
      <c r="G69" s="10"/>
      <c r="H69" s="10"/>
      <c r="I69" s="4">
        <f t="shared" ref="I69:I199" si="5">D69-F69</f>
        <v>13779</v>
      </c>
      <c r="J69">
        <f t="shared" si="4"/>
        <v>879873.6</v>
      </c>
    </row>
    <row r="70" spans="1:11" x14ac:dyDescent="0.25">
      <c r="A70" s="9" t="s">
        <v>113</v>
      </c>
      <c r="B70" s="9" t="s">
        <v>114</v>
      </c>
      <c r="C70" s="10">
        <v>64687</v>
      </c>
      <c r="D70" s="10">
        <f t="shared" si="3"/>
        <v>19876</v>
      </c>
      <c r="E70" s="10">
        <v>20027</v>
      </c>
      <c r="F70" s="10">
        <f t="shared" si="2"/>
        <v>6683</v>
      </c>
      <c r="G70" s="10"/>
      <c r="H70" s="10"/>
      <c r="I70" s="4">
        <f t="shared" si="5"/>
        <v>13193</v>
      </c>
      <c r="J70">
        <f t="shared" si="4"/>
        <v>838794.99999999988</v>
      </c>
    </row>
    <row r="71" spans="1:11" x14ac:dyDescent="0.25">
      <c r="A71" s="9"/>
      <c r="B71" s="9"/>
      <c r="C71" s="10">
        <v>64854</v>
      </c>
      <c r="D71" s="10">
        <f t="shared" si="3"/>
        <v>20043</v>
      </c>
      <c r="E71" s="10">
        <v>20669</v>
      </c>
      <c r="F71" s="10">
        <f t="shared" si="2"/>
        <v>7325</v>
      </c>
      <c r="G71" s="10"/>
      <c r="H71" s="10"/>
      <c r="I71" s="4">
        <f t="shared" si="5"/>
        <v>12718</v>
      </c>
      <c r="J71">
        <f t="shared" si="4"/>
        <v>805497.5</v>
      </c>
    </row>
    <row r="72" spans="1:11" x14ac:dyDescent="0.25">
      <c r="A72" s="9" t="s">
        <v>115</v>
      </c>
      <c r="B72" s="9" t="s">
        <v>116</v>
      </c>
      <c r="C72" s="10">
        <v>64902</v>
      </c>
      <c r="D72" s="10">
        <f t="shared" si="3"/>
        <v>20091</v>
      </c>
      <c r="E72" s="10">
        <v>20793</v>
      </c>
      <c r="F72" s="10">
        <f t="shared" si="2"/>
        <v>7449</v>
      </c>
      <c r="G72" s="10"/>
      <c r="H72" s="10"/>
      <c r="I72" s="4">
        <f t="shared" si="5"/>
        <v>12642</v>
      </c>
      <c r="J72">
        <f t="shared" si="4"/>
        <v>800169.89999999991</v>
      </c>
    </row>
    <row r="73" spans="1:11" x14ac:dyDescent="0.25">
      <c r="A73" s="9" t="s">
        <v>117</v>
      </c>
      <c r="B73" s="9" t="s">
        <v>118</v>
      </c>
      <c r="C73" s="10">
        <v>64958</v>
      </c>
      <c r="D73" s="10">
        <f t="shared" si="3"/>
        <v>20147</v>
      </c>
      <c r="E73" s="10">
        <v>21059</v>
      </c>
      <c r="F73" s="10">
        <f t="shared" si="2"/>
        <v>7715</v>
      </c>
      <c r="G73" s="10"/>
      <c r="H73" s="10"/>
      <c r="I73" s="4">
        <f t="shared" si="5"/>
        <v>12432</v>
      </c>
      <c r="J73">
        <f t="shared" si="4"/>
        <v>785448.89999999991</v>
      </c>
    </row>
    <row r="74" spans="1:11" x14ac:dyDescent="0.25">
      <c r="A74" s="9" t="s">
        <v>119</v>
      </c>
      <c r="B74" s="9"/>
      <c r="C74" s="10">
        <v>64979</v>
      </c>
      <c r="D74" s="10">
        <f t="shared" si="3"/>
        <v>20168</v>
      </c>
      <c r="E74" s="10">
        <v>21082</v>
      </c>
      <c r="F74" s="10">
        <f t="shared" si="2"/>
        <v>7738</v>
      </c>
      <c r="G74" s="10"/>
      <c r="H74" s="10"/>
      <c r="I74" s="4">
        <f t="shared" si="5"/>
        <v>12430</v>
      </c>
      <c r="J74">
        <f t="shared" si="4"/>
        <v>785308.7</v>
      </c>
    </row>
    <row r="75" spans="1:11" x14ac:dyDescent="0.25">
      <c r="A75" s="11" t="s">
        <v>120</v>
      </c>
      <c r="B75" s="11"/>
      <c r="C75" s="12">
        <v>65258</v>
      </c>
      <c r="D75" s="12">
        <f t="shared" ref="D75:D155" si="6">C75-$C$74</f>
        <v>279</v>
      </c>
      <c r="E75" s="12">
        <v>21857</v>
      </c>
      <c r="F75" s="12">
        <f t="shared" ref="F75:F155" si="7">E75-$E$74</f>
        <v>775</v>
      </c>
      <c r="G75" s="12"/>
      <c r="H75" s="12"/>
      <c r="I75" s="4">
        <f t="shared" si="5"/>
        <v>-496</v>
      </c>
      <c r="J75">
        <f t="shared" si="4"/>
        <v>2480</v>
      </c>
    </row>
    <row r="76" spans="1:11" x14ac:dyDescent="0.25">
      <c r="A76" s="11" t="s">
        <v>121</v>
      </c>
      <c r="B76" s="11"/>
      <c r="C76" s="12">
        <v>65298</v>
      </c>
      <c r="D76" s="12">
        <f t="shared" si="6"/>
        <v>319</v>
      </c>
      <c r="E76" s="12">
        <v>21934</v>
      </c>
      <c r="F76" s="12">
        <f t="shared" si="7"/>
        <v>852</v>
      </c>
      <c r="G76" s="12"/>
      <c r="H76" s="12"/>
      <c r="I76" s="4">
        <f t="shared" si="5"/>
        <v>-533</v>
      </c>
      <c r="J76">
        <f t="shared" si="4"/>
        <v>2665</v>
      </c>
    </row>
    <row r="77" spans="1:11" x14ac:dyDescent="0.25">
      <c r="A77" s="11" t="s">
        <v>122</v>
      </c>
      <c r="B77" s="11" t="s">
        <v>11</v>
      </c>
      <c r="C77" s="12">
        <v>65361</v>
      </c>
      <c r="D77" s="12">
        <f t="shared" si="6"/>
        <v>382</v>
      </c>
      <c r="E77" s="12">
        <v>22108</v>
      </c>
      <c r="F77" s="12">
        <f t="shared" si="7"/>
        <v>1026</v>
      </c>
      <c r="G77" s="12"/>
      <c r="H77" s="12"/>
      <c r="I77" s="4">
        <f t="shared" si="5"/>
        <v>-644</v>
      </c>
      <c r="J77">
        <f t="shared" si="4"/>
        <v>3220</v>
      </c>
    </row>
    <row r="78" spans="1:11" x14ac:dyDescent="0.25">
      <c r="A78" s="11" t="s">
        <v>125</v>
      </c>
      <c r="B78" s="11"/>
      <c r="C78" s="12">
        <v>65465</v>
      </c>
      <c r="D78" s="12">
        <f t="shared" si="6"/>
        <v>486</v>
      </c>
      <c r="E78" s="12">
        <v>22476</v>
      </c>
      <c r="F78" s="12">
        <f t="shared" si="7"/>
        <v>1394</v>
      </c>
      <c r="G78" s="12"/>
      <c r="H78" s="12"/>
      <c r="I78" s="4">
        <f t="shared" si="5"/>
        <v>-908</v>
      </c>
      <c r="J78">
        <f t="shared" si="4"/>
        <v>4540</v>
      </c>
    </row>
    <row r="79" spans="1:11" x14ac:dyDescent="0.25">
      <c r="A79" s="11" t="s">
        <v>126</v>
      </c>
      <c r="B79" s="11"/>
      <c r="C79" s="12">
        <v>65515</v>
      </c>
      <c r="D79" s="12">
        <f t="shared" si="6"/>
        <v>536</v>
      </c>
      <c r="E79" s="12">
        <v>22566</v>
      </c>
      <c r="F79" s="12">
        <f t="shared" si="7"/>
        <v>1484</v>
      </c>
      <c r="G79" s="12"/>
      <c r="H79" s="12"/>
      <c r="I79" s="5">
        <f t="shared" si="5"/>
        <v>-948</v>
      </c>
      <c r="J79">
        <f t="shared" si="4"/>
        <v>4740</v>
      </c>
    </row>
    <row r="80" spans="1:11" x14ac:dyDescent="0.25">
      <c r="A80" s="11" t="s">
        <v>127</v>
      </c>
      <c r="B80" s="11" t="s">
        <v>40</v>
      </c>
      <c r="C80" s="12">
        <v>65551</v>
      </c>
      <c r="D80" s="12">
        <f t="shared" si="6"/>
        <v>572</v>
      </c>
      <c r="E80" s="12">
        <v>22616</v>
      </c>
      <c r="F80" s="12">
        <f t="shared" si="7"/>
        <v>1534</v>
      </c>
      <c r="G80" s="12"/>
      <c r="H80" s="12"/>
      <c r="I80" s="5">
        <f t="shared" si="5"/>
        <v>-962</v>
      </c>
      <c r="J80">
        <f t="shared" si="4"/>
        <v>4810</v>
      </c>
    </row>
    <row r="81" spans="1:11" x14ac:dyDescent="0.25">
      <c r="A81" s="11" t="s">
        <v>128</v>
      </c>
      <c r="B81" s="11" t="s">
        <v>65</v>
      </c>
      <c r="C81" s="12">
        <v>65579</v>
      </c>
      <c r="D81" s="12">
        <f t="shared" si="6"/>
        <v>600</v>
      </c>
      <c r="E81" s="12">
        <v>22640</v>
      </c>
      <c r="F81" s="12">
        <f t="shared" si="7"/>
        <v>1558</v>
      </c>
      <c r="G81" s="12"/>
      <c r="H81" s="12"/>
      <c r="I81" s="5">
        <f t="shared" si="5"/>
        <v>-958</v>
      </c>
      <c r="J81">
        <f t="shared" si="4"/>
        <v>4790</v>
      </c>
    </row>
    <row r="82" spans="1:11" x14ac:dyDescent="0.25">
      <c r="A82" s="11" t="s">
        <v>129</v>
      </c>
      <c r="B82" s="11" t="s">
        <v>130</v>
      </c>
      <c r="C82" s="12">
        <v>65646</v>
      </c>
      <c r="D82" s="12">
        <f t="shared" si="6"/>
        <v>667</v>
      </c>
      <c r="E82" s="12">
        <v>22778</v>
      </c>
      <c r="F82" s="12">
        <f t="shared" si="7"/>
        <v>1696</v>
      </c>
      <c r="G82" s="12"/>
      <c r="H82" s="12"/>
      <c r="I82" s="5">
        <f t="shared" si="5"/>
        <v>-1029</v>
      </c>
      <c r="J82">
        <f t="shared" si="4"/>
        <v>5145</v>
      </c>
    </row>
    <row r="83" spans="1:11" x14ac:dyDescent="0.25">
      <c r="A83" s="11" t="s">
        <v>131</v>
      </c>
      <c r="B83" s="11" t="s">
        <v>132</v>
      </c>
      <c r="C83" s="12">
        <v>65660</v>
      </c>
      <c r="D83" s="12">
        <f t="shared" si="6"/>
        <v>681</v>
      </c>
      <c r="E83" s="12">
        <v>22806</v>
      </c>
      <c r="F83" s="12">
        <f t="shared" si="7"/>
        <v>1724</v>
      </c>
      <c r="G83" s="12"/>
      <c r="H83" s="12"/>
      <c r="I83" s="5">
        <f t="shared" si="5"/>
        <v>-1043</v>
      </c>
      <c r="J83">
        <f t="shared" si="4"/>
        <v>5215</v>
      </c>
    </row>
    <row r="84" spans="1:11" x14ac:dyDescent="0.25">
      <c r="A84" s="11" t="s">
        <v>133</v>
      </c>
      <c r="B84" s="11" t="s">
        <v>134</v>
      </c>
      <c r="C84" s="12">
        <v>65699</v>
      </c>
      <c r="D84" s="12">
        <f t="shared" si="6"/>
        <v>720</v>
      </c>
      <c r="E84" s="12">
        <v>22910</v>
      </c>
      <c r="F84" s="12">
        <f t="shared" si="7"/>
        <v>1828</v>
      </c>
      <c r="G84" s="12"/>
      <c r="H84" s="12"/>
      <c r="I84" s="5">
        <f t="shared" si="5"/>
        <v>-1108</v>
      </c>
      <c r="J84">
        <f t="shared" si="4"/>
        <v>5540</v>
      </c>
    </row>
    <row r="85" spans="1:11" x14ac:dyDescent="0.25">
      <c r="A85" s="11" t="s">
        <v>135</v>
      </c>
      <c r="B85" s="11" t="s">
        <v>136</v>
      </c>
      <c r="C85" s="12">
        <v>65741</v>
      </c>
      <c r="D85" s="12">
        <f t="shared" si="6"/>
        <v>762</v>
      </c>
      <c r="E85" s="12">
        <v>22994</v>
      </c>
      <c r="F85" s="12">
        <f t="shared" si="7"/>
        <v>1912</v>
      </c>
      <c r="G85" s="12"/>
      <c r="H85" s="12"/>
      <c r="I85" s="5">
        <f t="shared" si="5"/>
        <v>-1150</v>
      </c>
      <c r="J85">
        <f t="shared" si="4"/>
        <v>5750</v>
      </c>
      <c r="K85" t="s">
        <v>137</v>
      </c>
    </row>
    <row r="86" spans="1:11" x14ac:dyDescent="0.25">
      <c r="A86" s="11" t="s">
        <v>138</v>
      </c>
      <c r="B86" s="11" t="s">
        <v>139</v>
      </c>
      <c r="C86" s="12">
        <v>65869</v>
      </c>
      <c r="D86" s="12">
        <f t="shared" si="6"/>
        <v>890</v>
      </c>
      <c r="E86" s="12">
        <v>23116</v>
      </c>
      <c r="F86" s="12">
        <f t="shared" si="7"/>
        <v>2034</v>
      </c>
      <c r="G86" s="12"/>
      <c r="H86" s="12"/>
      <c r="I86" s="5">
        <f t="shared" si="5"/>
        <v>-1144</v>
      </c>
      <c r="J86">
        <f t="shared" si="4"/>
        <v>5720</v>
      </c>
    </row>
    <row r="87" spans="1:11" x14ac:dyDescent="0.25">
      <c r="A87" s="11" t="s">
        <v>140</v>
      </c>
      <c r="B87" s="11" t="s">
        <v>70</v>
      </c>
      <c r="C87" s="12">
        <v>65947</v>
      </c>
      <c r="D87" s="12">
        <f t="shared" si="6"/>
        <v>968</v>
      </c>
      <c r="E87" s="12">
        <v>23216</v>
      </c>
      <c r="F87" s="12">
        <f t="shared" si="7"/>
        <v>2134</v>
      </c>
      <c r="G87" s="12"/>
      <c r="H87" s="12"/>
      <c r="I87" s="5">
        <f t="shared" si="5"/>
        <v>-1166</v>
      </c>
      <c r="J87">
        <f t="shared" si="4"/>
        <v>5830</v>
      </c>
      <c r="K87" t="s">
        <v>141</v>
      </c>
    </row>
    <row r="88" spans="1:11" x14ac:dyDescent="0.25">
      <c r="A88" s="11" t="s">
        <v>142</v>
      </c>
      <c r="B88" s="11" t="s">
        <v>12</v>
      </c>
      <c r="C88" s="12">
        <v>65998</v>
      </c>
      <c r="D88" s="12">
        <f t="shared" si="6"/>
        <v>1019</v>
      </c>
      <c r="E88" s="12">
        <v>23225</v>
      </c>
      <c r="F88" s="12">
        <f t="shared" si="7"/>
        <v>2143</v>
      </c>
      <c r="G88" s="12"/>
      <c r="H88" s="12"/>
      <c r="I88" s="5">
        <f t="shared" si="5"/>
        <v>-1124</v>
      </c>
      <c r="J88">
        <f t="shared" si="4"/>
        <v>5620</v>
      </c>
      <c r="K88" t="s">
        <v>143</v>
      </c>
    </row>
    <row r="89" spans="1:11" x14ac:dyDescent="0.25">
      <c r="A89" s="11" t="s">
        <v>144</v>
      </c>
      <c r="B89" s="11" t="s">
        <v>95</v>
      </c>
      <c r="C89" s="12">
        <v>66080</v>
      </c>
      <c r="D89" s="12">
        <f t="shared" si="6"/>
        <v>1101</v>
      </c>
      <c r="E89" s="12">
        <v>23230</v>
      </c>
      <c r="F89" s="12">
        <f t="shared" si="7"/>
        <v>2148</v>
      </c>
      <c r="G89" s="12"/>
      <c r="H89" s="12"/>
      <c r="I89" s="5">
        <f t="shared" si="5"/>
        <v>-1047</v>
      </c>
      <c r="J89">
        <f t="shared" si="4"/>
        <v>5235</v>
      </c>
    </row>
    <row r="90" spans="1:11" x14ac:dyDescent="0.25">
      <c r="A90" s="11" t="s">
        <v>144</v>
      </c>
      <c r="B90" s="11" t="s">
        <v>70</v>
      </c>
      <c r="C90" s="12">
        <v>66088</v>
      </c>
      <c r="D90" s="12">
        <f t="shared" si="6"/>
        <v>1109</v>
      </c>
      <c r="E90" s="12">
        <v>23234</v>
      </c>
      <c r="F90" s="12">
        <f t="shared" si="7"/>
        <v>2152</v>
      </c>
      <c r="G90" s="12"/>
      <c r="H90" s="12"/>
      <c r="I90" s="5">
        <f t="shared" si="5"/>
        <v>-1043</v>
      </c>
      <c r="J90">
        <f t="shared" si="4"/>
        <v>5215</v>
      </c>
    </row>
    <row r="91" spans="1:11" x14ac:dyDescent="0.25">
      <c r="A91" s="11" t="s">
        <v>145</v>
      </c>
      <c r="B91" s="11" t="s">
        <v>114</v>
      </c>
      <c r="C91" s="12">
        <v>66108</v>
      </c>
      <c r="D91" s="12">
        <f t="shared" si="6"/>
        <v>1129</v>
      </c>
      <c r="E91" s="12">
        <v>23262</v>
      </c>
      <c r="F91" s="12">
        <f t="shared" si="7"/>
        <v>2180</v>
      </c>
      <c r="G91" s="12"/>
      <c r="H91" s="12"/>
      <c r="I91" s="5">
        <f t="shared" si="5"/>
        <v>-1051</v>
      </c>
      <c r="J91">
        <f t="shared" si="4"/>
        <v>5255</v>
      </c>
    </row>
    <row r="92" spans="1:11" x14ac:dyDescent="0.25">
      <c r="A92" s="11" t="s">
        <v>146</v>
      </c>
      <c r="B92" s="11" t="s">
        <v>29</v>
      </c>
      <c r="C92" s="12">
        <v>66144</v>
      </c>
      <c r="D92" s="12">
        <f t="shared" si="6"/>
        <v>1165</v>
      </c>
      <c r="E92" s="12">
        <v>23277</v>
      </c>
      <c r="F92" s="12">
        <f t="shared" si="7"/>
        <v>2195</v>
      </c>
      <c r="G92" s="12"/>
      <c r="H92" s="12"/>
      <c r="I92" s="5">
        <f t="shared" si="5"/>
        <v>-1030</v>
      </c>
      <c r="J92">
        <f t="shared" si="4"/>
        <v>5150</v>
      </c>
    </row>
    <row r="93" spans="1:11" x14ac:dyDescent="0.25">
      <c r="A93" s="11" t="s">
        <v>147</v>
      </c>
      <c r="B93" s="11" t="s">
        <v>29</v>
      </c>
      <c r="C93" s="12">
        <v>66162</v>
      </c>
      <c r="D93" s="12">
        <f t="shared" si="6"/>
        <v>1183</v>
      </c>
      <c r="E93" s="12">
        <v>23296</v>
      </c>
      <c r="F93" s="12">
        <f t="shared" si="7"/>
        <v>2214</v>
      </c>
      <c r="G93" s="12"/>
      <c r="H93" s="12"/>
      <c r="I93" s="5">
        <f t="shared" si="5"/>
        <v>-1031</v>
      </c>
      <c r="J93">
        <f t="shared" si="4"/>
        <v>5155</v>
      </c>
    </row>
    <row r="94" spans="1:11" x14ac:dyDescent="0.25">
      <c r="A94" s="11" t="s">
        <v>148</v>
      </c>
      <c r="B94" s="11" t="s">
        <v>38</v>
      </c>
      <c r="C94" s="12">
        <v>66297</v>
      </c>
      <c r="D94" s="12">
        <f t="shared" si="6"/>
        <v>1318</v>
      </c>
      <c r="E94" s="12">
        <v>23359</v>
      </c>
      <c r="F94" s="12">
        <f t="shared" si="7"/>
        <v>2277</v>
      </c>
      <c r="G94" s="12"/>
      <c r="H94" s="12"/>
      <c r="I94" s="5">
        <f t="shared" si="5"/>
        <v>-959</v>
      </c>
      <c r="J94">
        <f t="shared" si="4"/>
        <v>4795</v>
      </c>
    </row>
    <row r="95" spans="1:11" x14ac:dyDescent="0.25">
      <c r="A95" s="11" t="s">
        <v>149</v>
      </c>
      <c r="B95" s="11" t="s">
        <v>150</v>
      </c>
      <c r="C95" s="12">
        <v>66439</v>
      </c>
      <c r="D95" s="12">
        <f t="shared" si="6"/>
        <v>1460</v>
      </c>
      <c r="E95" s="12">
        <v>23416</v>
      </c>
      <c r="F95" s="12">
        <f t="shared" si="7"/>
        <v>2334</v>
      </c>
      <c r="G95" s="12"/>
      <c r="H95" s="12"/>
      <c r="I95" s="5">
        <f t="shared" si="5"/>
        <v>-874</v>
      </c>
      <c r="J95">
        <f t="shared" si="4"/>
        <v>4370</v>
      </c>
    </row>
    <row r="96" spans="1:11" x14ac:dyDescent="0.25">
      <c r="A96" s="11" t="s">
        <v>151</v>
      </c>
      <c r="B96" s="11" t="s">
        <v>152</v>
      </c>
      <c r="C96" s="12">
        <v>66676</v>
      </c>
      <c r="D96" s="12">
        <f t="shared" si="6"/>
        <v>1697</v>
      </c>
      <c r="E96" s="12">
        <v>23472</v>
      </c>
      <c r="F96" s="12">
        <f t="shared" si="7"/>
        <v>2390</v>
      </c>
      <c r="G96" s="12"/>
      <c r="H96" s="12"/>
      <c r="I96" s="5">
        <f t="shared" si="5"/>
        <v>-693</v>
      </c>
      <c r="J96">
        <f t="shared" si="4"/>
        <v>3465</v>
      </c>
    </row>
    <row r="97" spans="1:10" x14ac:dyDescent="0.25">
      <c r="A97" s="11" t="s">
        <v>154</v>
      </c>
      <c r="B97" s="11" t="s">
        <v>153</v>
      </c>
      <c r="C97" s="12">
        <v>66862</v>
      </c>
      <c r="D97" s="12">
        <f t="shared" si="6"/>
        <v>1883</v>
      </c>
      <c r="E97" s="12">
        <v>23491</v>
      </c>
      <c r="F97" s="12">
        <f t="shared" si="7"/>
        <v>2409</v>
      </c>
      <c r="G97" s="12"/>
      <c r="H97" s="12"/>
      <c r="I97" s="5">
        <f t="shared" si="5"/>
        <v>-526</v>
      </c>
      <c r="J97">
        <f t="shared" si="4"/>
        <v>2630</v>
      </c>
    </row>
    <row r="98" spans="1:10" x14ac:dyDescent="0.25">
      <c r="A98" s="11" t="s">
        <v>155</v>
      </c>
      <c r="B98" s="11" t="s">
        <v>70</v>
      </c>
      <c r="C98" s="12">
        <v>67177</v>
      </c>
      <c r="D98" s="12">
        <f t="shared" si="6"/>
        <v>2198</v>
      </c>
      <c r="E98" s="12">
        <v>23527</v>
      </c>
      <c r="F98" s="12">
        <f t="shared" si="7"/>
        <v>2445</v>
      </c>
      <c r="G98" s="12"/>
      <c r="H98" s="12"/>
      <c r="I98" s="5">
        <f t="shared" si="5"/>
        <v>-247</v>
      </c>
      <c r="J98">
        <f t="shared" si="4"/>
        <v>1235</v>
      </c>
    </row>
    <row r="99" spans="1:10" x14ac:dyDescent="0.25">
      <c r="A99" s="11" t="s">
        <v>156</v>
      </c>
      <c r="B99" s="11" t="s">
        <v>17</v>
      </c>
      <c r="C99" s="12">
        <v>67548</v>
      </c>
      <c r="D99" s="12">
        <f t="shared" si="6"/>
        <v>2569</v>
      </c>
      <c r="E99" s="12">
        <v>23548</v>
      </c>
      <c r="F99" s="12">
        <f t="shared" si="7"/>
        <v>2466</v>
      </c>
      <c r="G99" s="12"/>
      <c r="H99" s="12"/>
      <c r="I99" s="5">
        <f t="shared" si="5"/>
        <v>103</v>
      </c>
      <c r="J99">
        <f t="shared" si="4"/>
        <v>3708</v>
      </c>
    </row>
    <row r="100" spans="1:10" x14ac:dyDescent="0.25">
      <c r="A100" s="11" t="s">
        <v>157</v>
      </c>
      <c r="B100" s="11" t="s">
        <v>41</v>
      </c>
      <c r="C100" s="12">
        <v>67969</v>
      </c>
      <c r="D100" s="12">
        <f t="shared" si="6"/>
        <v>2990</v>
      </c>
      <c r="E100" s="12">
        <v>23565</v>
      </c>
      <c r="F100" s="12">
        <f t="shared" si="7"/>
        <v>2483</v>
      </c>
      <c r="G100" s="12"/>
      <c r="H100" s="12"/>
      <c r="I100" s="5">
        <f t="shared" si="5"/>
        <v>507</v>
      </c>
      <c r="J100">
        <f t="shared" si="4"/>
        <v>18252</v>
      </c>
    </row>
    <row r="101" spans="1:10" x14ac:dyDescent="0.25">
      <c r="A101" s="11" t="s">
        <v>158</v>
      </c>
      <c r="B101" s="11" t="s">
        <v>159</v>
      </c>
      <c r="C101" s="12">
        <v>68620</v>
      </c>
      <c r="D101" s="12">
        <f t="shared" si="6"/>
        <v>3641</v>
      </c>
      <c r="E101" s="12">
        <v>23590</v>
      </c>
      <c r="F101" s="12">
        <f t="shared" si="7"/>
        <v>2508</v>
      </c>
      <c r="G101" s="12"/>
      <c r="H101" s="12"/>
      <c r="I101" s="5">
        <f t="shared" si="5"/>
        <v>1133</v>
      </c>
      <c r="J101">
        <f t="shared" si="4"/>
        <v>40788</v>
      </c>
    </row>
    <row r="102" spans="1:10" x14ac:dyDescent="0.25">
      <c r="A102" s="11" t="s">
        <v>160</v>
      </c>
      <c r="B102" s="11" t="s">
        <v>40</v>
      </c>
      <c r="C102" s="12">
        <v>69108</v>
      </c>
      <c r="D102" s="12">
        <f t="shared" si="6"/>
        <v>4129</v>
      </c>
      <c r="E102" s="12">
        <v>23561</v>
      </c>
      <c r="F102" s="12">
        <f t="shared" si="7"/>
        <v>2479</v>
      </c>
      <c r="G102" s="12"/>
      <c r="H102" s="12"/>
      <c r="I102" s="5">
        <f t="shared" si="5"/>
        <v>1650</v>
      </c>
      <c r="J102">
        <f t="shared" si="4"/>
        <v>59400</v>
      </c>
    </row>
    <row r="103" spans="1:10" x14ac:dyDescent="0.25">
      <c r="A103" s="11" t="s">
        <v>161</v>
      </c>
      <c r="B103" s="11" t="s">
        <v>162</v>
      </c>
      <c r="C103" s="12">
        <v>69564</v>
      </c>
      <c r="D103" s="12">
        <f t="shared" si="6"/>
        <v>4585</v>
      </c>
      <c r="E103" s="12">
        <v>23602</v>
      </c>
      <c r="F103" s="12">
        <f t="shared" si="7"/>
        <v>2520</v>
      </c>
      <c r="G103" s="12"/>
      <c r="H103" s="12"/>
      <c r="I103" s="5">
        <f t="shared" si="5"/>
        <v>2065</v>
      </c>
      <c r="J103">
        <f t="shared" si="4"/>
        <v>74340</v>
      </c>
    </row>
    <row r="104" spans="1:10" x14ac:dyDescent="0.25">
      <c r="A104" s="11" t="s">
        <v>163</v>
      </c>
      <c r="B104" s="11" t="s">
        <v>65</v>
      </c>
      <c r="C104" s="12">
        <v>69699</v>
      </c>
      <c r="D104" s="12">
        <f t="shared" si="6"/>
        <v>4720</v>
      </c>
      <c r="E104" s="12">
        <v>23612</v>
      </c>
      <c r="F104" s="12">
        <f t="shared" si="7"/>
        <v>2530</v>
      </c>
      <c r="G104" s="12"/>
      <c r="H104" s="12"/>
      <c r="I104" s="5">
        <f t="shared" si="5"/>
        <v>2190</v>
      </c>
      <c r="J104">
        <f t="shared" si="4"/>
        <v>78840</v>
      </c>
    </row>
    <row r="105" spans="1:10" x14ac:dyDescent="0.25">
      <c r="A105" s="11" t="s">
        <v>164</v>
      </c>
      <c r="B105" s="11" t="s">
        <v>165</v>
      </c>
      <c r="C105" s="12">
        <v>70520</v>
      </c>
      <c r="D105" s="12">
        <f t="shared" si="6"/>
        <v>5541</v>
      </c>
      <c r="E105" s="12">
        <v>23640</v>
      </c>
      <c r="F105" s="12">
        <f t="shared" si="7"/>
        <v>2558</v>
      </c>
      <c r="G105" s="12"/>
      <c r="H105" s="12"/>
      <c r="I105" s="5">
        <f t="shared" si="5"/>
        <v>2983</v>
      </c>
      <c r="J105">
        <f t="shared" si="4"/>
        <v>123074</v>
      </c>
    </row>
    <row r="106" spans="1:10" x14ac:dyDescent="0.25">
      <c r="A106" s="13" t="s">
        <v>166</v>
      </c>
      <c r="B106" s="13" t="s">
        <v>167</v>
      </c>
      <c r="C106" s="14">
        <v>70719</v>
      </c>
      <c r="D106" s="14">
        <f t="shared" si="6"/>
        <v>5740</v>
      </c>
      <c r="E106" s="14">
        <v>23660</v>
      </c>
      <c r="F106" s="14">
        <f t="shared" si="7"/>
        <v>2578</v>
      </c>
      <c r="G106" s="14"/>
      <c r="H106" s="14"/>
      <c r="I106" s="5">
        <f t="shared" si="5"/>
        <v>3162</v>
      </c>
      <c r="J106">
        <f t="shared" si="4"/>
        <v>135621.9</v>
      </c>
    </row>
    <row r="107" spans="1:10" x14ac:dyDescent="0.25">
      <c r="A107" s="11" t="s">
        <v>168</v>
      </c>
      <c r="B107" s="11" t="s">
        <v>86</v>
      </c>
      <c r="C107" s="12">
        <v>71404</v>
      </c>
      <c r="D107" s="12">
        <f t="shared" si="6"/>
        <v>6425</v>
      </c>
      <c r="E107" s="12">
        <v>23690</v>
      </c>
      <c r="F107" s="12">
        <f t="shared" si="7"/>
        <v>2608</v>
      </c>
      <c r="G107" s="12"/>
      <c r="H107" s="12"/>
      <c r="I107" s="5">
        <f t="shared" si="5"/>
        <v>3817</v>
      </c>
      <c r="J107">
        <f t="shared" si="4"/>
        <v>181537.4</v>
      </c>
    </row>
    <row r="108" spans="1:10" x14ac:dyDescent="0.25">
      <c r="A108" s="11" t="s">
        <v>169</v>
      </c>
      <c r="B108" s="11" t="s">
        <v>170</v>
      </c>
      <c r="C108" s="12">
        <v>72079</v>
      </c>
      <c r="D108" s="12">
        <f t="shared" si="6"/>
        <v>7100</v>
      </c>
      <c r="E108" s="12">
        <v>23710</v>
      </c>
      <c r="F108" s="12">
        <f t="shared" si="7"/>
        <v>2628</v>
      </c>
      <c r="G108" s="12"/>
      <c r="H108" s="12"/>
      <c r="I108" s="5">
        <f t="shared" si="5"/>
        <v>4472</v>
      </c>
      <c r="J108">
        <f t="shared" si="4"/>
        <v>227452.9</v>
      </c>
    </row>
    <row r="109" spans="1:10" x14ac:dyDescent="0.25">
      <c r="A109" s="11" t="s">
        <v>171</v>
      </c>
      <c r="B109" s="11" t="s">
        <v>139</v>
      </c>
      <c r="C109" s="12">
        <v>72573</v>
      </c>
      <c r="D109" s="12">
        <f t="shared" si="6"/>
        <v>7594</v>
      </c>
      <c r="E109" s="12">
        <v>23722</v>
      </c>
      <c r="F109" s="12">
        <f t="shared" si="7"/>
        <v>2640</v>
      </c>
      <c r="G109" s="12"/>
      <c r="H109" s="12"/>
      <c r="I109" s="5">
        <f t="shared" si="5"/>
        <v>4954</v>
      </c>
      <c r="J109">
        <f t="shared" si="4"/>
        <v>261241.09999999998</v>
      </c>
    </row>
    <row r="110" spans="1:10" x14ac:dyDescent="0.25">
      <c r="A110" s="11" t="s">
        <v>172</v>
      </c>
      <c r="B110" s="11" t="s">
        <v>173</v>
      </c>
      <c r="C110" s="12">
        <v>72994</v>
      </c>
      <c r="D110" s="12">
        <f t="shared" si="6"/>
        <v>8015</v>
      </c>
      <c r="E110" s="12">
        <v>23760</v>
      </c>
      <c r="F110" s="12">
        <f t="shared" si="7"/>
        <v>2678</v>
      </c>
      <c r="G110" s="12"/>
      <c r="H110" s="12"/>
      <c r="I110" s="5">
        <f t="shared" si="5"/>
        <v>5337</v>
      </c>
      <c r="J110">
        <f t="shared" si="4"/>
        <v>288089.40000000002</v>
      </c>
    </row>
    <row r="111" spans="1:10" x14ac:dyDescent="0.25">
      <c r="A111" s="11" t="s">
        <v>174</v>
      </c>
      <c r="B111" s="11" t="s">
        <v>35</v>
      </c>
      <c r="C111" s="12">
        <v>73364</v>
      </c>
      <c r="D111" s="12">
        <f t="shared" si="6"/>
        <v>8385</v>
      </c>
      <c r="E111" s="12">
        <v>23804</v>
      </c>
      <c r="F111" s="12">
        <f t="shared" si="7"/>
        <v>2722</v>
      </c>
      <c r="G111" s="12"/>
      <c r="H111" s="12"/>
      <c r="I111" s="5">
        <f t="shared" si="5"/>
        <v>5663</v>
      </c>
      <c r="J111">
        <f t="shared" si="4"/>
        <v>310942</v>
      </c>
    </row>
    <row r="112" spans="1:10" x14ac:dyDescent="0.25">
      <c r="A112" s="11" t="s">
        <v>175</v>
      </c>
      <c r="B112" s="11" t="s">
        <v>167</v>
      </c>
      <c r="C112" s="12">
        <v>74011</v>
      </c>
      <c r="D112" s="12">
        <f t="shared" si="6"/>
        <v>9032</v>
      </c>
      <c r="E112" s="12">
        <v>23872</v>
      </c>
      <c r="F112" s="12">
        <f t="shared" si="7"/>
        <v>2790</v>
      </c>
      <c r="G112" s="12"/>
      <c r="H112" s="12"/>
      <c r="I112" s="5">
        <f t="shared" si="5"/>
        <v>6242</v>
      </c>
      <c r="J112">
        <f t="shared" si="4"/>
        <v>351529.89999999997</v>
      </c>
    </row>
    <row r="113" spans="1:11" x14ac:dyDescent="0.25">
      <c r="A113" s="11" t="s">
        <v>176</v>
      </c>
      <c r="B113" s="11" t="s">
        <v>177</v>
      </c>
      <c r="C113" s="12">
        <v>74445</v>
      </c>
      <c r="D113" s="12">
        <f t="shared" si="6"/>
        <v>9466</v>
      </c>
      <c r="E113" s="12">
        <v>23939</v>
      </c>
      <c r="F113" s="12">
        <f t="shared" si="7"/>
        <v>2857</v>
      </c>
      <c r="G113" s="12"/>
      <c r="H113" s="12"/>
      <c r="I113" s="5">
        <f t="shared" si="5"/>
        <v>6609</v>
      </c>
      <c r="J113">
        <f t="shared" si="4"/>
        <v>377256.6</v>
      </c>
    </row>
    <row r="114" spans="1:11" x14ac:dyDescent="0.25">
      <c r="A114" s="11" t="s">
        <v>178</v>
      </c>
      <c r="B114" s="11" t="s">
        <v>179</v>
      </c>
      <c r="C114" s="12">
        <v>74681</v>
      </c>
      <c r="D114" s="12">
        <f t="shared" si="6"/>
        <v>9702</v>
      </c>
      <c r="E114" s="12">
        <v>24002</v>
      </c>
      <c r="F114" s="12">
        <f t="shared" si="7"/>
        <v>2920</v>
      </c>
      <c r="G114" s="12"/>
      <c r="H114" s="12"/>
      <c r="I114" s="5">
        <f t="shared" si="5"/>
        <v>6782</v>
      </c>
      <c r="J114">
        <f t="shared" si="4"/>
        <v>389383.89999999997</v>
      </c>
    </row>
    <row r="115" spans="1:11" x14ac:dyDescent="0.25">
      <c r="A115" s="11" t="s">
        <v>180</v>
      </c>
      <c r="B115" s="11" t="s">
        <v>40</v>
      </c>
      <c r="C115" s="12">
        <v>75120</v>
      </c>
      <c r="D115" s="12">
        <f t="shared" si="6"/>
        <v>10141</v>
      </c>
      <c r="E115" s="12">
        <v>24077</v>
      </c>
      <c r="F115" s="12">
        <f t="shared" si="7"/>
        <v>2995</v>
      </c>
      <c r="G115" s="12"/>
      <c r="H115" s="12"/>
      <c r="I115" s="5">
        <f t="shared" si="5"/>
        <v>7146</v>
      </c>
      <c r="J115">
        <f t="shared" si="4"/>
        <v>414900.3</v>
      </c>
    </row>
    <row r="116" spans="1:11" x14ac:dyDescent="0.25">
      <c r="A116" s="11" t="s">
        <v>181</v>
      </c>
      <c r="B116" s="11" t="s">
        <v>114</v>
      </c>
      <c r="C116" s="12">
        <v>75196</v>
      </c>
      <c r="D116" s="12">
        <f t="shared" si="6"/>
        <v>10217</v>
      </c>
      <c r="E116" s="12">
        <v>24087</v>
      </c>
      <c r="F116" s="12">
        <f t="shared" si="7"/>
        <v>3005</v>
      </c>
      <c r="G116" s="12"/>
      <c r="H116" s="12"/>
      <c r="I116" s="5">
        <f t="shared" si="5"/>
        <v>7212</v>
      </c>
      <c r="J116">
        <f t="shared" si="4"/>
        <v>419526.89999999997</v>
      </c>
    </row>
    <row r="117" spans="1:11" x14ac:dyDescent="0.25">
      <c r="A117" s="11" t="s">
        <v>182</v>
      </c>
      <c r="B117" s="11" t="s">
        <v>35</v>
      </c>
      <c r="C117" s="12">
        <v>75614</v>
      </c>
      <c r="D117" s="12">
        <f t="shared" si="6"/>
        <v>10635</v>
      </c>
      <c r="E117" s="12">
        <v>24166</v>
      </c>
      <c r="F117" s="12">
        <f t="shared" si="7"/>
        <v>3084</v>
      </c>
      <c r="G117" s="12"/>
      <c r="H117" s="12"/>
      <c r="I117" s="5">
        <f t="shared" si="5"/>
        <v>7551</v>
      </c>
      <c r="J117">
        <f t="shared" si="4"/>
        <v>443290.8</v>
      </c>
    </row>
    <row r="118" spans="1:11" x14ac:dyDescent="0.25">
      <c r="A118" s="11" t="s">
        <v>183</v>
      </c>
      <c r="B118" s="11" t="s">
        <v>167</v>
      </c>
      <c r="C118" s="12">
        <v>75897</v>
      </c>
      <c r="D118" s="12">
        <f t="shared" si="6"/>
        <v>10918</v>
      </c>
      <c r="E118" s="12">
        <v>24215</v>
      </c>
      <c r="F118" s="12">
        <f t="shared" si="7"/>
        <v>3133</v>
      </c>
      <c r="G118" s="12"/>
      <c r="H118" s="12"/>
      <c r="I118" s="5">
        <f t="shared" si="5"/>
        <v>7785</v>
      </c>
      <c r="J118">
        <f t="shared" si="4"/>
        <v>459694.19999999995</v>
      </c>
    </row>
    <row r="119" spans="1:11" x14ac:dyDescent="0.25">
      <c r="A119" s="11" t="s">
        <v>184</v>
      </c>
      <c r="B119" s="11" t="s">
        <v>86</v>
      </c>
      <c r="C119" s="12">
        <v>76201</v>
      </c>
      <c r="D119" s="12">
        <f t="shared" si="6"/>
        <v>11222</v>
      </c>
      <c r="E119" s="12">
        <v>24277</v>
      </c>
      <c r="F119" s="12">
        <f t="shared" si="7"/>
        <v>3195</v>
      </c>
      <c r="G119" s="12"/>
      <c r="H119" s="12"/>
      <c r="I119" s="5">
        <f t="shared" si="5"/>
        <v>8027</v>
      </c>
      <c r="J119">
        <f t="shared" si="4"/>
        <v>476658.39999999997</v>
      </c>
    </row>
    <row r="120" spans="1:11" x14ac:dyDescent="0.25">
      <c r="A120" s="11" t="s">
        <v>185</v>
      </c>
      <c r="B120" s="11" t="s">
        <v>167</v>
      </c>
      <c r="C120" s="12">
        <v>76292</v>
      </c>
      <c r="D120" s="12">
        <f t="shared" si="6"/>
        <v>11313</v>
      </c>
      <c r="E120" s="12">
        <v>24318</v>
      </c>
      <c r="F120" s="12">
        <f t="shared" si="7"/>
        <v>3236</v>
      </c>
      <c r="G120" s="12"/>
      <c r="H120" s="12"/>
      <c r="I120" s="5">
        <f t="shared" si="5"/>
        <v>8077</v>
      </c>
      <c r="J120">
        <f t="shared" si="4"/>
        <v>480163.39999999997</v>
      </c>
    </row>
    <row r="121" spans="1:11" x14ac:dyDescent="0.25">
      <c r="A121" s="11" t="s">
        <v>186</v>
      </c>
      <c r="B121" s="11" t="s">
        <v>81</v>
      </c>
      <c r="C121" s="12">
        <v>76616</v>
      </c>
      <c r="D121" s="12">
        <f t="shared" si="6"/>
        <v>11637</v>
      </c>
      <c r="E121" s="12">
        <v>24455</v>
      </c>
      <c r="F121" s="12">
        <f t="shared" si="7"/>
        <v>3373</v>
      </c>
      <c r="G121" s="12"/>
      <c r="H121" s="12"/>
      <c r="I121" s="5">
        <f t="shared" si="5"/>
        <v>8264</v>
      </c>
      <c r="J121">
        <f t="shared" si="4"/>
        <v>493272.1</v>
      </c>
    </row>
    <row r="122" spans="1:11" x14ac:dyDescent="0.25">
      <c r="A122" s="11" t="s">
        <v>187</v>
      </c>
      <c r="B122" s="11" t="s">
        <v>65</v>
      </c>
      <c r="C122" s="12">
        <v>76913</v>
      </c>
      <c r="D122" s="12">
        <f t="shared" si="6"/>
        <v>11934</v>
      </c>
      <c r="E122" s="12">
        <v>24596</v>
      </c>
      <c r="F122" s="12">
        <f t="shared" si="7"/>
        <v>3514</v>
      </c>
      <c r="G122" s="12"/>
      <c r="H122" s="12"/>
      <c r="I122" s="5">
        <f t="shared" si="5"/>
        <v>8420</v>
      </c>
      <c r="J122">
        <f t="shared" si="4"/>
        <v>504207.69999999995</v>
      </c>
    </row>
    <row r="123" spans="1:11" x14ac:dyDescent="0.25">
      <c r="A123" s="11" t="s">
        <v>188</v>
      </c>
      <c r="B123" s="11" t="s">
        <v>189</v>
      </c>
      <c r="C123" s="12">
        <v>77003</v>
      </c>
      <c r="D123" s="12">
        <f t="shared" si="6"/>
        <v>12024</v>
      </c>
      <c r="E123" s="12">
        <v>24741</v>
      </c>
      <c r="F123" s="12">
        <f t="shared" si="7"/>
        <v>3659</v>
      </c>
      <c r="G123" s="12"/>
      <c r="H123" s="12"/>
      <c r="I123" s="5">
        <f t="shared" si="5"/>
        <v>8365</v>
      </c>
      <c r="J123">
        <f t="shared" si="4"/>
        <v>500352.19999999995</v>
      </c>
    </row>
    <row r="124" spans="1:11" x14ac:dyDescent="0.25">
      <c r="A124" s="11" t="s">
        <v>190</v>
      </c>
      <c r="B124" s="11" t="s">
        <v>67</v>
      </c>
      <c r="C124" s="12">
        <v>77048</v>
      </c>
      <c r="D124" s="12">
        <f t="shared" si="6"/>
        <v>12069</v>
      </c>
      <c r="E124" s="12">
        <v>24790</v>
      </c>
      <c r="F124" s="12">
        <f t="shared" si="7"/>
        <v>3708</v>
      </c>
      <c r="G124" s="12"/>
      <c r="H124" s="12"/>
      <c r="I124" s="5">
        <f t="shared" si="5"/>
        <v>8361</v>
      </c>
      <c r="J124">
        <f t="shared" si="4"/>
        <v>500071.8</v>
      </c>
    </row>
    <row r="125" spans="1:11" x14ac:dyDescent="0.25">
      <c r="A125" s="11" t="s">
        <v>191</v>
      </c>
      <c r="B125" s="11" t="s">
        <v>192</v>
      </c>
      <c r="C125" s="12">
        <v>77085</v>
      </c>
      <c r="D125" s="12">
        <f t="shared" si="6"/>
        <v>12106</v>
      </c>
      <c r="E125" s="12">
        <v>25030</v>
      </c>
      <c r="F125" s="12">
        <f t="shared" si="7"/>
        <v>3948</v>
      </c>
      <c r="G125" s="12"/>
      <c r="H125" s="12"/>
      <c r="I125" s="5">
        <f t="shared" si="5"/>
        <v>8158</v>
      </c>
      <c r="J125">
        <f t="shared" si="4"/>
        <v>485841.49999999994</v>
      </c>
      <c r="K125" t="s">
        <v>193</v>
      </c>
    </row>
    <row r="126" spans="1:11" x14ac:dyDescent="0.25">
      <c r="A126" s="11" t="s">
        <v>194</v>
      </c>
      <c r="B126" s="11" t="s">
        <v>195</v>
      </c>
      <c r="C126" s="12">
        <v>77111</v>
      </c>
      <c r="D126" s="12">
        <f t="shared" si="6"/>
        <v>12132</v>
      </c>
      <c r="E126" s="12">
        <v>25112</v>
      </c>
      <c r="F126" s="12">
        <f t="shared" si="7"/>
        <v>4030</v>
      </c>
      <c r="G126" s="12"/>
      <c r="H126" s="12"/>
      <c r="I126" s="5">
        <f t="shared" si="5"/>
        <v>8102</v>
      </c>
      <c r="J126">
        <f t="shared" si="4"/>
        <v>481915.89999999997</v>
      </c>
      <c r="K126" t="s">
        <v>197</v>
      </c>
    </row>
    <row r="127" spans="1:11" x14ac:dyDescent="0.25">
      <c r="A127" s="11" t="s">
        <v>196</v>
      </c>
      <c r="B127" s="11" t="s">
        <v>41</v>
      </c>
      <c r="C127" s="12">
        <v>77183</v>
      </c>
      <c r="D127" s="12">
        <f t="shared" si="6"/>
        <v>12204</v>
      </c>
      <c r="E127" s="12">
        <v>25189</v>
      </c>
      <c r="F127" s="12">
        <f t="shared" si="7"/>
        <v>4107</v>
      </c>
      <c r="G127" s="12"/>
      <c r="H127" s="12"/>
      <c r="I127" s="5">
        <f t="shared" si="5"/>
        <v>8097</v>
      </c>
      <c r="J127">
        <f t="shared" si="4"/>
        <v>481565.39999999997</v>
      </c>
    </row>
    <row r="128" spans="1:11" x14ac:dyDescent="0.25">
      <c r="A128" s="11" t="s">
        <v>198</v>
      </c>
      <c r="B128" s="11" t="s">
        <v>167</v>
      </c>
      <c r="C128" s="12">
        <v>77283</v>
      </c>
      <c r="D128" s="12">
        <f t="shared" si="6"/>
        <v>12304</v>
      </c>
      <c r="E128" s="12">
        <v>25278</v>
      </c>
      <c r="F128" s="12">
        <f t="shared" si="7"/>
        <v>4196</v>
      </c>
      <c r="G128" s="12"/>
      <c r="H128" s="12"/>
      <c r="I128" s="5">
        <f t="shared" si="5"/>
        <v>8108</v>
      </c>
      <c r="J128">
        <f t="shared" si="4"/>
        <v>482336.49999999994</v>
      </c>
    </row>
    <row r="129" spans="1:10" x14ac:dyDescent="0.25">
      <c r="A129" s="11" t="s">
        <v>199</v>
      </c>
      <c r="B129" s="11" t="s">
        <v>200</v>
      </c>
      <c r="C129" s="12">
        <v>77591</v>
      </c>
      <c r="D129" s="12">
        <f t="shared" si="6"/>
        <v>12612</v>
      </c>
      <c r="E129" s="12">
        <v>25451</v>
      </c>
      <c r="F129" s="12">
        <f t="shared" si="7"/>
        <v>4369</v>
      </c>
      <c r="G129" s="12"/>
      <c r="H129" s="12"/>
      <c r="I129" s="5">
        <f t="shared" si="5"/>
        <v>8243</v>
      </c>
      <c r="J129">
        <f t="shared" si="4"/>
        <v>491799.99999999994</v>
      </c>
    </row>
    <row r="130" spans="1:10" x14ac:dyDescent="0.25">
      <c r="A130" s="11" t="s">
        <v>201</v>
      </c>
      <c r="B130" s="11" t="s">
        <v>81</v>
      </c>
      <c r="C130" s="12">
        <v>77645</v>
      </c>
      <c r="D130" s="12">
        <f t="shared" si="6"/>
        <v>12666</v>
      </c>
      <c r="E130" s="12">
        <v>25591</v>
      </c>
      <c r="F130" s="12">
        <f t="shared" si="7"/>
        <v>4509</v>
      </c>
      <c r="G130" s="12"/>
      <c r="H130" s="12"/>
      <c r="I130" s="5">
        <f t="shared" si="5"/>
        <v>8157</v>
      </c>
      <c r="J130">
        <f t="shared" si="4"/>
        <v>485771.39999999997</v>
      </c>
    </row>
    <row r="131" spans="1:10" x14ac:dyDescent="0.25">
      <c r="A131" s="11" t="s">
        <v>202</v>
      </c>
      <c r="B131" s="11" t="s">
        <v>112</v>
      </c>
      <c r="C131" s="12">
        <v>77706</v>
      </c>
      <c r="D131" s="12">
        <f t="shared" si="6"/>
        <v>12727</v>
      </c>
      <c r="E131" s="12">
        <v>25743</v>
      </c>
      <c r="F131" s="12">
        <f t="shared" si="7"/>
        <v>4661</v>
      </c>
      <c r="G131" s="12"/>
      <c r="H131" s="12"/>
      <c r="I131" s="5">
        <f t="shared" si="5"/>
        <v>8066</v>
      </c>
      <c r="J131">
        <f t="shared" si="4"/>
        <v>479392.3</v>
      </c>
    </row>
    <row r="132" spans="1:10" x14ac:dyDescent="0.25">
      <c r="A132" s="11" t="s">
        <v>203</v>
      </c>
      <c r="B132" s="11" t="s">
        <v>204</v>
      </c>
      <c r="C132" s="12">
        <v>77880</v>
      </c>
      <c r="D132" s="12">
        <f t="shared" si="6"/>
        <v>12901</v>
      </c>
      <c r="E132" s="12">
        <v>26240</v>
      </c>
      <c r="F132" s="12">
        <f t="shared" si="7"/>
        <v>5158</v>
      </c>
      <c r="G132" s="12"/>
      <c r="H132" s="12"/>
      <c r="I132" s="5">
        <f t="shared" si="5"/>
        <v>7743</v>
      </c>
      <c r="J132">
        <f t="shared" ref="J132:J195" si="8">IF(I132&lt;0, ABS(I132)*5, IF(I132&lt;=2523, I132*36, 2523*36 + (I132-2523)*70.1))</f>
        <v>456749.99999999994</v>
      </c>
    </row>
    <row r="133" spans="1:10" x14ac:dyDescent="0.25">
      <c r="A133" s="11" t="s">
        <v>205</v>
      </c>
      <c r="B133" s="11" t="s">
        <v>22</v>
      </c>
      <c r="C133" s="12">
        <v>77919</v>
      </c>
      <c r="D133" s="12">
        <f t="shared" si="6"/>
        <v>12940</v>
      </c>
      <c r="E133" s="12">
        <v>26345</v>
      </c>
      <c r="F133" s="12">
        <f t="shared" si="7"/>
        <v>5263</v>
      </c>
      <c r="G133" s="12"/>
      <c r="H133" s="12"/>
      <c r="I133" s="5">
        <f t="shared" si="5"/>
        <v>7677</v>
      </c>
      <c r="J133">
        <f t="shared" si="8"/>
        <v>452123.39999999997</v>
      </c>
    </row>
    <row r="134" spans="1:10" x14ac:dyDescent="0.25">
      <c r="A134" s="11" t="s">
        <v>206</v>
      </c>
      <c r="B134" s="11" t="s">
        <v>207</v>
      </c>
      <c r="C134" s="12">
        <v>78004</v>
      </c>
      <c r="D134" s="12">
        <f t="shared" si="6"/>
        <v>13025</v>
      </c>
      <c r="E134" s="12">
        <v>26543</v>
      </c>
      <c r="F134" s="12">
        <f t="shared" si="7"/>
        <v>5461</v>
      </c>
      <c r="G134" s="12"/>
      <c r="H134" s="12"/>
      <c r="I134" s="5">
        <f t="shared" si="5"/>
        <v>7564</v>
      </c>
      <c r="J134">
        <f t="shared" si="8"/>
        <v>444202.1</v>
      </c>
    </row>
    <row r="135" spans="1:10" x14ac:dyDescent="0.25">
      <c r="A135" s="11" t="s">
        <v>208</v>
      </c>
      <c r="B135" s="11" t="s">
        <v>95</v>
      </c>
      <c r="C135" s="12">
        <v>78013</v>
      </c>
      <c r="D135" s="12">
        <f t="shared" si="6"/>
        <v>13034</v>
      </c>
      <c r="E135" s="12">
        <v>26597</v>
      </c>
      <c r="F135" s="12">
        <f t="shared" si="7"/>
        <v>5515</v>
      </c>
      <c r="G135" s="12"/>
      <c r="H135" s="12"/>
      <c r="I135" s="5">
        <f t="shared" si="5"/>
        <v>7519</v>
      </c>
      <c r="J135">
        <f t="shared" si="8"/>
        <v>441047.6</v>
      </c>
    </row>
    <row r="136" spans="1:10" x14ac:dyDescent="0.25">
      <c r="A136" s="11" t="s">
        <v>209</v>
      </c>
      <c r="B136" s="11" t="s">
        <v>70</v>
      </c>
      <c r="C136" s="12">
        <v>78080</v>
      </c>
      <c r="D136" s="12">
        <f t="shared" si="6"/>
        <v>13101</v>
      </c>
      <c r="E136" s="12">
        <v>26799</v>
      </c>
      <c r="F136" s="12">
        <f t="shared" si="7"/>
        <v>5717</v>
      </c>
      <c r="G136" s="12"/>
      <c r="H136" s="12"/>
      <c r="I136" s="5">
        <f t="shared" si="5"/>
        <v>7384</v>
      </c>
      <c r="J136">
        <f t="shared" si="8"/>
        <v>431584.1</v>
      </c>
    </row>
    <row r="137" spans="1:10" x14ac:dyDescent="0.25">
      <c r="A137" s="11" t="s">
        <v>210</v>
      </c>
      <c r="B137" s="11" t="s">
        <v>211</v>
      </c>
      <c r="C137" s="12">
        <v>78124</v>
      </c>
      <c r="D137" s="12">
        <f t="shared" si="6"/>
        <v>13145</v>
      </c>
      <c r="E137" s="12">
        <v>26908</v>
      </c>
      <c r="F137" s="12">
        <f t="shared" si="7"/>
        <v>5826</v>
      </c>
      <c r="G137" s="12"/>
      <c r="H137" s="12"/>
      <c r="I137" s="5">
        <f t="shared" si="5"/>
        <v>7319</v>
      </c>
      <c r="J137">
        <f t="shared" si="8"/>
        <v>427027.6</v>
      </c>
    </row>
    <row r="138" spans="1:10" x14ac:dyDescent="0.25">
      <c r="A138" s="11" t="s">
        <v>212</v>
      </c>
      <c r="B138" s="11" t="s">
        <v>167</v>
      </c>
      <c r="C138" s="12">
        <v>78150</v>
      </c>
      <c r="D138" s="12">
        <f t="shared" si="6"/>
        <v>13171</v>
      </c>
      <c r="E138" s="12">
        <v>26997</v>
      </c>
      <c r="F138" s="12">
        <f t="shared" si="7"/>
        <v>5915</v>
      </c>
      <c r="G138" s="12"/>
      <c r="H138" s="12"/>
      <c r="I138" s="5">
        <f t="shared" si="5"/>
        <v>7256</v>
      </c>
      <c r="J138">
        <f t="shared" si="8"/>
        <v>422611.3</v>
      </c>
    </row>
    <row r="139" spans="1:10" x14ac:dyDescent="0.25">
      <c r="A139" s="11" t="s">
        <v>213</v>
      </c>
      <c r="B139" s="11" t="s">
        <v>40</v>
      </c>
      <c r="C139" s="12">
        <v>78178</v>
      </c>
      <c r="D139" s="12">
        <f t="shared" si="6"/>
        <v>13199</v>
      </c>
      <c r="E139" s="12">
        <v>27033</v>
      </c>
      <c r="F139" s="12">
        <f t="shared" si="7"/>
        <v>5951</v>
      </c>
      <c r="G139" s="12"/>
      <c r="H139" s="12"/>
      <c r="I139" s="5">
        <f t="shared" si="5"/>
        <v>7248</v>
      </c>
      <c r="J139">
        <f t="shared" si="8"/>
        <v>422050.5</v>
      </c>
    </row>
    <row r="140" spans="1:10" x14ac:dyDescent="0.25">
      <c r="A140" s="11" t="s">
        <v>213</v>
      </c>
      <c r="B140" s="11" t="s">
        <v>116</v>
      </c>
      <c r="C140" s="12">
        <v>78180</v>
      </c>
      <c r="D140" s="12">
        <f t="shared" si="6"/>
        <v>13201</v>
      </c>
      <c r="E140" s="12">
        <v>27050</v>
      </c>
      <c r="F140" s="12">
        <f t="shared" si="7"/>
        <v>5968</v>
      </c>
      <c r="G140" s="12"/>
      <c r="H140" s="12"/>
      <c r="I140" s="5">
        <f t="shared" si="5"/>
        <v>7233</v>
      </c>
      <c r="J140">
        <f t="shared" si="8"/>
        <v>420999</v>
      </c>
    </row>
    <row r="141" spans="1:10" x14ac:dyDescent="0.25">
      <c r="A141" s="11" t="s">
        <v>214</v>
      </c>
      <c r="B141" s="11" t="s">
        <v>200</v>
      </c>
      <c r="C141" s="12">
        <v>78206</v>
      </c>
      <c r="D141" s="12">
        <f t="shared" si="6"/>
        <v>13227</v>
      </c>
      <c r="E141" s="12">
        <v>27078</v>
      </c>
      <c r="F141" s="12">
        <f t="shared" si="7"/>
        <v>5996</v>
      </c>
      <c r="G141" s="12"/>
      <c r="H141" s="12"/>
      <c r="I141" s="5">
        <f t="shared" si="5"/>
        <v>7231</v>
      </c>
      <c r="J141">
        <f t="shared" si="8"/>
        <v>420858.8</v>
      </c>
    </row>
    <row r="142" spans="1:10" x14ac:dyDescent="0.25">
      <c r="A142" s="11" t="s">
        <v>215</v>
      </c>
      <c r="B142" s="11" t="s">
        <v>38</v>
      </c>
      <c r="C142" s="12">
        <v>78220</v>
      </c>
      <c r="D142" s="12">
        <f t="shared" si="6"/>
        <v>13241</v>
      </c>
      <c r="E142" s="12">
        <v>27156</v>
      </c>
      <c r="F142" s="12">
        <f t="shared" si="7"/>
        <v>6074</v>
      </c>
      <c r="G142" s="12"/>
      <c r="H142" s="12"/>
      <c r="I142" s="5">
        <f t="shared" si="5"/>
        <v>7167</v>
      </c>
      <c r="J142">
        <f t="shared" si="8"/>
        <v>416372.39999999997</v>
      </c>
    </row>
    <row r="143" spans="1:10" x14ac:dyDescent="0.25">
      <c r="A143" s="11" t="s">
        <v>216</v>
      </c>
      <c r="B143" s="11" t="s">
        <v>217</v>
      </c>
      <c r="C143" s="12">
        <v>78311</v>
      </c>
      <c r="D143" s="12">
        <f t="shared" si="6"/>
        <v>13332</v>
      </c>
      <c r="E143" s="12">
        <v>27311</v>
      </c>
      <c r="F143" s="12">
        <f t="shared" si="7"/>
        <v>6229</v>
      </c>
      <c r="G143" s="12"/>
      <c r="H143" s="12"/>
      <c r="I143" s="5">
        <f t="shared" si="5"/>
        <v>7103</v>
      </c>
      <c r="J143">
        <f t="shared" si="8"/>
        <v>411886</v>
      </c>
    </row>
    <row r="144" spans="1:10" x14ac:dyDescent="0.25">
      <c r="A144" s="11" t="s">
        <v>218</v>
      </c>
      <c r="B144" s="11" t="s">
        <v>95</v>
      </c>
      <c r="C144" s="12">
        <v>78282</v>
      </c>
      <c r="D144" s="12">
        <f t="shared" si="6"/>
        <v>13303</v>
      </c>
      <c r="E144" s="12">
        <v>27396</v>
      </c>
      <c r="F144" s="12">
        <f t="shared" si="7"/>
        <v>6314</v>
      </c>
      <c r="G144" s="12"/>
      <c r="H144" s="12"/>
      <c r="I144" s="5">
        <f t="shared" si="5"/>
        <v>6989</v>
      </c>
      <c r="J144">
        <f t="shared" si="8"/>
        <v>403894.6</v>
      </c>
    </row>
    <row r="145" spans="1:11" x14ac:dyDescent="0.25">
      <c r="A145" s="11" t="s">
        <v>219</v>
      </c>
      <c r="B145" s="11" t="s">
        <v>35</v>
      </c>
      <c r="C145" s="12">
        <v>78333</v>
      </c>
      <c r="D145" s="12">
        <f t="shared" si="6"/>
        <v>13354</v>
      </c>
      <c r="E145" s="12">
        <v>27589</v>
      </c>
      <c r="F145" s="12">
        <f t="shared" si="7"/>
        <v>6507</v>
      </c>
      <c r="G145" s="12"/>
      <c r="H145" s="12"/>
      <c r="I145" s="5">
        <f t="shared" si="5"/>
        <v>6847</v>
      </c>
      <c r="J145">
        <f t="shared" si="8"/>
        <v>393940.39999999997</v>
      </c>
    </row>
    <row r="146" spans="1:11" x14ac:dyDescent="0.25">
      <c r="A146" s="11" t="s">
        <v>220</v>
      </c>
      <c r="B146" s="11" t="s">
        <v>221</v>
      </c>
      <c r="C146" s="12">
        <v>78366</v>
      </c>
      <c r="D146" s="12">
        <f t="shared" si="6"/>
        <v>13387</v>
      </c>
      <c r="E146" s="12">
        <v>27678</v>
      </c>
      <c r="F146" s="12">
        <f t="shared" si="7"/>
        <v>6596</v>
      </c>
      <c r="G146" s="12"/>
      <c r="H146" s="12"/>
      <c r="I146" s="5">
        <f t="shared" si="5"/>
        <v>6791</v>
      </c>
      <c r="J146">
        <f t="shared" si="8"/>
        <v>390014.8</v>
      </c>
    </row>
    <row r="147" spans="1:11" x14ac:dyDescent="0.25">
      <c r="A147" s="11" t="s">
        <v>222</v>
      </c>
      <c r="B147" s="11" t="s">
        <v>173</v>
      </c>
      <c r="C147" s="12">
        <v>78408</v>
      </c>
      <c r="D147" s="12">
        <f t="shared" si="6"/>
        <v>13429</v>
      </c>
      <c r="E147" s="12">
        <v>27833</v>
      </c>
      <c r="F147" s="12">
        <f t="shared" si="7"/>
        <v>6751</v>
      </c>
      <c r="G147" s="12"/>
      <c r="H147" s="12"/>
      <c r="I147" s="5">
        <f t="shared" si="5"/>
        <v>6678</v>
      </c>
      <c r="J147">
        <f t="shared" si="8"/>
        <v>382093.5</v>
      </c>
    </row>
    <row r="148" spans="1:11" x14ac:dyDescent="0.25">
      <c r="A148" s="11" t="s">
        <v>223</v>
      </c>
      <c r="B148" s="11" t="s">
        <v>110</v>
      </c>
      <c r="C148" s="12">
        <v>78477</v>
      </c>
      <c r="D148" s="12">
        <f t="shared" si="6"/>
        <v>13498</v>
      </c>
      <c r="E148" s="12">
        <v>28143</v>
      </c>
      <c r="F148" s="12">
        <f t="shared" si="7"/>
        <v>7061</v>
      </c>
      <c r="G148" s="12"/>
      <c r="H148" s="12"/>
      <c r="I148" s="5">
        <f t="shared" si="5"/>
        <v>6437</v>
      </c>
      <c r="J148">
        <f t="shared" si="8"/>
        <v>365199.39999999997</v>
      </c>
    </row>
    <row r="149" spans="1:11" x14ac:dyDescent="0.25">
      <c r="A149" s="11" t="s">
        <v>224</v>
      </c>
      <c r="B149" s="11" t="s">
        <v>107</v>
      </c>
      <c r="C149" s="12">
        <v>78500</v>
      </c>
      <c r="D149" s="12">
        <f t="shared" si="6"/>
        <v>13521</v>
      </c>
      <c r="E149" s="12">
        <v>28217</v>
      </c>
      <c r="F149" s="12">
        <f t="shared" si="7"/>
        <v>7135</v>
      </c>
      <c r="G149" s="12"/>
      <c r="H149" s="12"/>
      <c r="I149" s="5">
        <f t="shared" si="5"/>
        <v>6386</v>
      </c>
      <c r="J149">
        <f t="shared" si="8"/>
        <v>361624.3</v>
      </c>
    </row>
    <row r="150" spans="1:11" x14ac:dyDescent="0.25">
      <c r="A150" s="11" t="s">
        <v>225</v>
      </c>
      <c r="B150" s="11" t="s">
        <v>81</v>
      </c>
      <c r="C150" s="12">
        <v>78556</v>
      </c>
      <c r="D150" s="12">
        <f t="shared" si="6"/>
        <v>13577</v>
      </c>
      <c r="E150" s="12">
        <v>28414</v>
      </c>
      <c r="F150" s="12">
        <f t="shared" si="7"/>
        <v>7332</v>
      </c>
      <c r="G150" s="12"/>
      <c r="H150" s="12"/>
      <c r="I150" s="5">
        <f t="shared" si="5"/>
        <v>6245</v>
      </c>
      <c r="J150">
        <f t="shared" si="8"/>
        <v>351740.19999999995</v>
      </c>
    </row>
    <row r="151" spans="1:11" x14ac:dyDescent="0.25">
      <c r="A151" s="11" t="s">
        <v>226</v>
      </c>
      <c r="B151" s="11" t="s">
        <v>153</v>
      </c>
      <c r="C151" s="12">
        <v>78569</v>
      </c>
      <c r="D151" s="12">
        <f t="shared" si="6"/>
        <v>13590</v>
      </c>
      <c r="E151" s="12">
        <v>28459</v>
      </c>
      <c r="F151" s="12">
        <f t="shared" si="7"/>
        <v>7377</v>
      </c>
      <c r="G151" s="12"/>
      <c r="H151" s="12"/>
      <c r="I151" s="5">
        <f t="shared" si="5"/>
        <v>6213</v>
      </c>
      <c r="J151">
        <f t="shared" si="8"/>
        <v>349497</v>
      </c>
    </row>
    <row r="152" spans="1:11" x14ac:dyDescent="0.25">
      <c r="A152" s="11" t="s">
        <v>227</v>
      </c>
      <c r="B152" s="11" t="s">
        <v>35</v>
      </c>
      <c r="C152" s="12">
        <v>78622</v>
      </c>
      <c r="D152" s="12">
        <f t="shared" si="6"/>
        <v>13643</v>
      </c>
      <c r="E152" s="12">
        <v>28575</v>
      </c>
      <c r="F152" s="12">
        <f t="shared" si="7"/>
        <v>7493</v>
      </c>
      <c r="G152" s="12"/>
      <c r="H152" s="12"/>
      <c r="I152" s="5">
        <f t="shared" si="5"/>
        <v>6150</v>
      </c>
      <c r="J152">
        <f t="shared" si="8"/>
        <v>345080.69999999995</v>
      </c>
    </row>
    <row r="153" spans="1:11" x14ac:dyDescent="0.25">
      <c r="A153" s="11" t="s">
        <v>228</v>
      </c>
      <c r="B153" s="11" t="s">
        <v>229</v>
      </c>
      <c r="C153" s="12">
        <v>78675</v>
      </c>
      <c r="D153" s="12">
        <f t="shared" si="6"/>
        <v>13696</v>
      </c>
      <c r="E153" s="12">
        <v>28738</v>
      </c>
      <c r="F153" s="12">
        <f t="shared" si="7"/>
        <v>7656</v>
      </c>
      <c r="G153" s="12"/>
      <c r="H153" s="12"/>
      <c r="I153" s="5">
        <f t="shared" si="5"/>
        <v>6040</v>
      </c>
      <c r="J153">
        <f t="shared" si="8"/>
        <v>337369.69999999995</v>
      </c>
    </row>
    <row r="154" spans="1:11" x14ac:dyDescent="0.25">
      <c r="A154" s="11" t="s">
        <v>230</v>
      </c>
      <c r="B154" s="11" t="s">
        <v>167</v>
      </c>
      <c r="C154" s="12">
        <v>78722</v>
      </c>
      <c r="D154" s="12">
        <f t="shared" si="6"/>
        <v>13743</v>
      </c>
      <c r="E154" s="12">
        <v>28942</v>
      </c>
      <c r="F154" s="12">
        <f t="shared" si="7"/>
        <v>7860</v>
      </c>
      <c r="G154" s="12"/>
      <c r="H154" s="12"/>
      <c r="I154" s="5">
        <f t="shared" si="5"/>
        <v>5883</v>
      </c>
      <c r="J154">
        <f t="shared" si="8"/>
        <v>326364</v>
      </c>
    </row>
    <row r="155" spans="1:11" x14ac:dyDescent="0.25">
      <c r="A155" s="11" t="s">
        <v>231</v>
      </c>
      <c r="B155" s="11" t="s">
        <v>167</v>
      </c>
      <c r="C155" s="12">
        <v>78788</v>
      </c>
      <c r="D155" s="12">
        <f t="shared" si="6"/>
        <v>13809</v>
      </c>
      <c r="E155" s="12">
        <v>29123</v>
      </c>
      <c r="F155" s="12">
        <f t="shared" si="7"/>
        <v>8041</v>
      </c>
      <c r="G155" s="12"/>
      <c r="H155" s="12"/>
      <c r="I155" s="5">
        <f t="shared" si="5"/>
        <v>5768</v>
      </c>
      <c r="J155">
        <f t="shared" si="8"/>
        <v>318302.5</v>
      </c>
      <c r="K155" t="s">
        <v>241</v>
      </c>
    </row>
    <row r="156" spans="1:11" x14ac:dyDescent="0.25">
      <c r="A156" s="18" t="s">
        <v>232</v>
      </c>
      <c r="B156" s="18" t="s">
        <v>12</v>
      </c>
      <c r="C156" s="19">
        <v>78803</v>
      </c>
      <c r="D156" s="19">
        <f>C156-$C$155</f>
        <v>15</v>
      </c>
      <c r="E156" s="19">
        <v>29180</v>
      </c>
      <c r="F156" s="19">
        <f>E156-$E$155</f>
        <v>57</v>
      </c>
      <c r="G156" s="19"/>
      <c r="H156" s="19"/>
      <c r="I156" s="19">
        <f t="shared" si="5"/>
        <v>-42</v>
      </c>
      <c r="J156">
        <f t="shared" si="8"/>
        <v>210</v>
      </c>
    </row>
    <row r="157" spans="1:11" x14ac:dyDescent="0.25">
      <c r="A157" s="18" t="s">
        <v>233</v>
      </c>
      <c r="B157" s="18" t="s">
        <v>234</v>
      </c>
      <c r="C157" s="19">
        <v>78828</v>
      </c>
      <c r="D157" s="19">
        <f t="shared" ref="D157:D193" si="9">C157-$C$155</f>
        <v>40</v>
      </c>
      <c r="E157" s="19">
        <v>29267</v>
      </c>
      <c r="F157" s="19">
        <f t="shared" ref="F157:F193" si="10">E157-$E$155</f>
        <v>144</v>
      </c>
      <c r="G157" s="19"/>
      <c r="H157" s="19"/>
      <c r="I157" s="19">
        <f t="shared" si="5"/>
        <v>-104</v>
      </c>
      <c r="J157">
        <f t="shared" si="8"/>
        <v>520</v>
      </c>
    </row>
    <row r="158" spans="1:11" x14ac:dyDescent="0.25">
      <c r="A158" s="18" t="s">
        <v>235</v>
      </c>
      <c r="B158" s="18" t="s">
        <v>200</v>
      </c>
      <c r="C158" s="19">
        <v>78867</v>
      </c>
      <c r="D158" s="19">
        <f t="shared" si="9"/>
        <v>79</v>
      </c>
      <c r="E158" s="19">
        <v>29347</v>
      </c>
      <c r="F158" s="19">
        <f t="shared" si="10"/>
        <v>224</v>
      </c>
      <c r="G158" s="19"/>
      <c r="H158" s="19"/>
      <c r="I158" s="19">
        <f t="shared" si="5"/>
        <v>-145</v>
      </c>
      <c r="J158">
        <f t="shared" si="8"/>
        <v>725</v>
      </c>
    </row>
    <row r="159" spans="1:11" x14ac:dyDescent="0.25">
      <c r="A159" s="18" t="s">
        <v>236</v>
      </c>
      <c r="B159" s="18" t="s">
        <v>200</v>
      </c>
      <c r="C159" s="19">
        <v>78907</v>
      </c>
      <c r="D159" s="19">
        <f t="shared" si="9"/>
        <v>119</v>
      </c>
      <c r="E159" s="19">
        <v>29469</v>
      </c>
      <c r="F159" s="19">
        <f t="shared" si="10"/>
        <v>346</v>
      </c>
      <c r="G159" s="19"/>
      <c r="H159" s="19"/>
      <c r="I159" s="19">
        <f t="shared" si="5"/>
        <v>-227</v>
      </c>
      <c r="J159">
        <f t="shared" si="8"/>
        <v>1135</v>
      </c>
    </row>
    <row r="160" spans="1:11" x14ac:dyDescent="0.25">
      <c r="A160" s="18" t="s">
        <v>237</v>
      </c>
      <c r="B160" s="18" t="s">
        <v>238</v>
      </c>
      <c r="C160" s="19">
        <v>78939</v>
      </c>
      <c r="D160" s="19">
        <f t="shared" si="9"/>
        <v>151</v>
      </c>
      <c r="E160" s="19">
        <v>29582</v>
      </c>
      <c r="F160" s="19">
        <f t="shared" si="10"/>
        <v>459</v>
      </c>
      <c r="G160" s="19"/>
      <c r="H160" s="19"/>
      <c r="I160" s="19">
        <f t="shared" si="5"/>
        <v>-308</v>
      </c>
      <c r="J160">
        <f t="shared" si="8"/>
        <v>1540</v>
      </c>
    </row>
    <row r="161" spans="1:11" x14ac:dyDescent="0.25">
      <c r="A161" s="18" t="s">
        <v>239</v>
      </c>
      <c r="B161" s="18" t="s">
        <v>240</v>
      </c>
      <c r="C161" s="19">
        <v>79284</v>
      </c>
      <c r="D161" s="19">
        <f>C161-$C$155</f>
        <v>496</v>
      </c>
      <c r="E161" s="19">
        <v>30457</v>
      </c>
      <c r="F161" s="19">
        <f t="shared" si="10"/>
        <v>1334</v>
      </c>
      <c r="G161" s="19"/>
      <c r="H161" s="19"/>
      <c r="I161" s="19">
        <f t="shared" si="5"/>
        <v>-838</v>
      </c>
      <c r="J161">
        <f t="shared" si="8"/>
        <v>4190</v>
      </c>
    </row>
    <row r="162" spans="1:11" x14ac:dyDescent="0.25">
      <c r="A162" s="21" t="s">
        <v>242</v>
      </c>
      <c r="B162" s="21" t="s">
        <v>243</v>
      </c>
      <c r="C162" s="22">
        <v>79459</v>
      </c>
      <c r="D162" s="22">
        <f t="shared" si="9"/>
        <v>671</v>
      </c>
      <c r="E162" s="22">
        <v>30727</v>
      </c>
      <c r="F162" s="22">
        <f t="shared" si="10"/>
        <v>1604</v>
      </c>
      <c r="G162" s="20"/>
      <c r="H162" s="20"/>
      <c r="I162" s="22">
        <f t="shared" si="5"/>
        <v>-933</v>
      </c>
      <c r="J162">
        <f t="shared" si="8"/>
        <v>4665</v>
      </c>
    </row>
    <row r="163" spans="1:11" x14ac:dyDescent="0.25">
      <c r="A163" s="21" t="s">
        <v>244</v>
      </c>
      <c r="B163" s="21" t="s">
        <v>245</v>
      </c>
      <c r="C163" s="22">
        <v>79574</v>
      </c>
      <c r="D163" s="22">
        <f t="shared" si="9"/>
        <v>786</v>
      </c>
      <c r="E163" s="22">
        <v>30825</v>
      </c>
      <c r="F163" s="22">
        <f t="shared" si="10"/>
        <v>1702</v>
      </c>
      <c r="G163" s="20"/>
      <c r="H163" s="20"/>
      <c r="I163" s="22">
        <f t="shared" si="5"/>
        <v>-916</v>
      </c>
      <c r="J163">
        <f t="shared" si="8"/>
        <v>4580</v>
      </c>
      <c r="K163" s="16" t="s">
        <v>141</v>
      </c>
    </row>
    <row r="164" spans="1:11" x14ac:dyDescent="0.25">
      <c r="A164" s="21" t="s">
        <v>246</v>
      </c>
      <c r="B164" s="21" t="s">
        <v>247</v>
      </c>
      <c r="C164" s="22">
        <v>80636</v>
      </c>
      <c r="D164" s="22">
        <f t="shared" si="9"/>
        <v>1848</v>
      </c>
      <c r="E164" s="22">
        <v>31339</v>
      </c>
      <c r="F164" s="22">
        <f t="shared" si="10"/>
        <v>2216</v>
      </c>
      <c r="G164" s="20"/>
      <c r="H164" s="20"/>
      <c r="I164" s="22">
        <f t="shared" si="5"/>
        <v>-368</v>
      </c>
      <c r="J164">
        <f t="shared" si="8"/>
        <v>1840</v>
      </c>
    </row>
    <row r="165" spans="1:11" x14ac:dyDescent="0.25">
      <c r="A165" s="21" t="s">
        <v>248</v>
      </c>
      <c r="B165" s="21" t="s">
        <v>40</v>
      </c>
      <c r="C165" s="22">
        <v>82124</v>
      </c>
      <c r="D165" s="22">
        <f t="shared" si="9"/>
        <v>3336</v>
      </c>
      <c r="E165" s="22">
        <v>31532</v>
      </c>
      <c r="F165" s="22">
        <f t="shared" si="10"/>
        <v>2409</v>
      </c>
      <c r="G165" s="20"/>
      <c r="H165" s="20"/>
      <c r="I165" s="22">
        <f t="shared" si="5"/>
        <v>927</v>
      </c>
      <c r="J165">
        <f t="shared" si="8"/>
        <v>33372</v>
      </c>
    </row>
    <row r="166" spans="1:11" x14ac:dyDescent="0.25">
      <c r="A166" s="21" t="s">
        <v>249</v>
      </c>
      <c r="B166" s="21" t="s">
        <v>217</v>
      </c>
      <c r="C166" s="22">
        <v>82330</v>
      </c>
      <c r="D166" s="22">
        <f t="shared" si="9"/>
        <v>3542</v>
      </c>
      <c r="E166" s="22">
        <v>31541</v>
      </c>
      <c r="F166" s="22">
        <f t="shared" si="10"/>
        <v>2418</v>
      </c>
      <c r="G166" s="20"/>
      <c r="H166" s="20"/>
      <c r="I166" s="22">
        <f t="shared" si="5"/>
        <v>1124</v>
      </c>
      <c r="J166">
        <f t="shared" si="8"/>
        <v>40464</v>
      </c>
    </row>
    <row r="167" spans="1:11" x14ac:dyDescent="0.25">
      <c r="A167" s="21" t="s">
        <v>251</v>
      </c>
      <c r="B167" s="21" t="s">
        <v>250</v>
      </c>
      <c r="C167" s="22">
        <v>85740</v>
      </c>
      <c r="D167" s="22">
        <f t="shared" si="9"/>
        <v>6952</v>
      </c>
      <c r="E167" s="22">
        <v>31680</v>
      </c>
      <c r="F167" s="22">
        <f t="shared" si="10"/>
        <v>2557</v>
      </c>
      <c r="G167" s="20"/>
      <c r="H167" s="20"/>
      <c r="I167" s="22">
        <f t="shared" si="5"/>
        <v>4395</v>
      </c>
      <c r="J167">
        <f t="shared" si="8"/>
        <v>222055.19999999998</v>
      </c>
    </row>
    <row r="168" spans="1:11" x14ac:dyDescent="0.25">
      <c r="A168" s="21" t="s">
        <v>252</v>
      </c>
      <c r="B168" s="21" t="s">
        <v>253</v>
      </c>
      <c r="C168" s="22">
        <v>87057</v>
      </c>
      <c r="D168" s="22">
        <f t="shared" si="9"/>
        <v>8269</v>
      </c>
      <c r="E168" s="22">
        <v>31750</v>
      </c>
      <c r="F168" s="22">
        <f t="shared" si="10"/>
        <v>2627</v>
      </c>
      <c r="G168" s="20"/>
      <c r="H168" s="20"/>
      <c r="I168" s="22">
        <f t="shared" si="5"/>
        <v>5642</v>
      </c>
      <c r="J168">
        <f t="shared" si="8"/>
        <v>309469.90000000002</v>
      </c>
    </row>
    <row r="169" spans="1:11" x14ac:dyDescent="0.25">
      <c r="A169" s="21" t="s">
        <v>254</v>
      </c>
      <c r="B169" s="21" t="s">
        <v>207</v>
      </c>
      <c r="C169" s="22">
        <v>87963</v>
      </c>
      <c r="D169" s="22">
        <f t="shared" si="9"/>
        <v>9175</v>
      </c>
      <c r="E169" s="22">
        <v>31766</v>
      </c>
      <c r="F169" s="22">
        <f t="shared" si="10"/>
        <v>2643</v>
      </c>
      <c r="G169" s="20"/>
      <c r="H169" s="20"/>
      <c r="I169" s="22">
        <f t="shared" si="5"/>
        <v>6532</v>
      </c>
      <c r="J169">
        <f t="shared" si="8"/>
        <v>371858.89999999997</v>
      </c>
    </row>
    <row r="170" spans="1:11" x14ac:dyDescent="0.25">
      <c r="A170" s="21" t="s">
        <v>255</v>
      </c>
      <c r="B170" s="21" t="s">
        <v>256</v>
      </c>
      <c r="C170" s="22">
        <v>88958</v>
      </c>
      <c r="D170" s="22">
        <f t="shared" si="9"/>
        <v>10170</v>
      </c>
      <c r="E170" s="22">
        <v>31917</v>
      </c>
      <c r="F170" s="22">
        <f t="shared" si="10"/>
        <v>2794</v>
      </c>
      <c r="G170" s="20"/>
      <c r="H170" s="20"/>
      <c r="I170" s="22">
        <f t="shared" si="5"/>
        <v>7376</v>
      </c>
      <c r="J170">
        <f t="shared" si="8"/>
        <v>431023.3</v>
      </c>
    </row>
    <row r="171" spans="1:11" x14ac:dyDescent="0.25">
      <c r="A171" s="21" t="s">
        <v>257</v>
      </c>
      <c r="B171" s="21" t="s">
        <v>207</v>
      </c>
      <c r="C171" s="22">
        <v>89499</v>
      </c>
      <c r="D171" s="22">
        <f t="shared" si="9"/>
        <v>10711</v>
      </c>
      <c r="E171" s="22">
        <v>31972</v>
      </c>
      <c r="F171" s="22">
        <f t="shared" si="10"/>
        <v>2849</v>
      </c>
      <c r="G171" s="20"/>
      <c r="H171" s="20"/>
      <c r="I171" s="22">
        <f t="shared" si="5"/>
        <v>7862</v>
      </c>
      <c r="J171">
        <f t="shared" si="8"/>
        <v>465091.89999999997</v>
      </c>
    </row>
    <row r="172" spans="1:11" x14ac:dyDescent="0.25">
      <c r="A172" s="21" t="s">
        <v>258</v>
      </c>
      <c r="B172" s="21" t="s">
        <v>259</v>
      </c>
      <c r="C172" s="22">
        <v>91375</v>
      </c>
      <c r="D172" s="22">
        <f t="shared" si="9"/>
        <v>12587</v>
      </c>
      <c r="E172" s="22">
        <v>32361</v>
      </c>
      <c r="F172" s="22">
        <f t="shared" si="10"/>
        <v>3238</v>
      </c>
      <c r="G172" s="20"/>
      <c r="H172" s="20"/>
      <c r="I172" s="22">
        <f t="shared" si="5"/>
        <v>9349</v>
      </c>
      <c r="J172">
        <f t="shared" si="8"/>
        <v>569330.6</v>
      </c>
    </row>
    <row r="173" spans="1:11" x14ac:dyDescent="0.25">
      <c r="A173" s="21" t="s">
        <v>260</v>
      </c>
      <c r="B173" s="21" t="s">
        <v>152</v>
      </c>
      <c r="C173" s="22">
        <v>92372</v>
      </c>
      <c r="D173" s="22">
        <f t="shared" si="9"/>
        <v>13584</v>
      </c>
      <c r="E173" s="22">
        <v>32630</v>
      </c>
      <c r="F173" s="22">
        <f t="shared" si="10"/>
        <v>3507</v>
      </c>
      <c r="G173" s="20"/>
      <c r="H173" s="20"/>
      <c r="I173" s="22">
        <f t="shared" si="5"/>
        <v>10077</v>
      </c>
      <c r="J173">
        <f t="shared" si="8"/>
        <v>620363.39999999991</v>
      </c>
    </row>
    <row r="174" spans="1:11" x14ac:dyDescent="0.25">
      <c r="A174" s="21" t="s">
        <v>261</v>
      </c>
      <c r="B174" s="21" t="s">
        <v>31</v>
      </c>
      <c r="C174" s="22">
        <v>93145</v>
      </c>
      <c r="D174" s="22">
        <f t="shared" si="9"/>
        <v>14357</v>
      </c>
      <c r="E174" s="22">
        <v>33100</v>
      </c>
      <c r="F174" s="22">
        <f t="shared" si="10"/>
        <v>3977</v>
      </c>
      <c r="G174" s="20"/>
      <c r="H174" s="20"/>
      <c r="I174" s="22">
        <f t="shared" si="5"/>
        <v>10380</v>
      </c>
      <c r="J174">
        <f t="shared" si="8"/>
        <v>641603.69999999995</v>
      </c>
    </row>
    <row r="175" spans="1:11" x14ac:dyDescent="0.25">
      <c r="A175" s="21" t="s">
        <v>262</v>
      </c>
      <c r="B175" s="21" t="s">
        <v>152</v>
      </c>
      <c r="C175" s="22">
        <v>93314</v>
      </c>
      <c r="D175" s="22">
        <f t="shared" si="9"/>
        <v>14526</v>
      </c>
      <c r="E175" s="22">
        <v>33417</v>
      </c>
      <c r="F175" s="22">
        <f t="shared" si="10"/>
        <v>4294</v>
      </c>
      <c r="G175" s="20"/>
      <c r="H175" s="20"/>
      <c r="I175" s="22">
        <f t="shared" si="5"/>
        <v>10232</v>
      </c>
      <c r="J175">
        <f t="shared" si="8"/>
        <v>631228.89999999991</v>
      </c>
      <c r="K175" t="s">
        <v>263</v>
      </c>
    </row>
    <row r="176" spans="1:11" x14ac:dyDescent="0.25">
      <c r="A176" s="21" t="s">
        <v>264</v>
      </c>
      <c r="B176" s="21" t="s">
        <v>265</v>
      </c>
      <c r="C176" s="22">
        <v>93383</v>
      </c>
      <c r="D176" s="22">
        <f t="shared" si="9"/>
        <v>14595</v>
      </c>
      <c r="E176" s="22">
        <v>33629</v>
      </c>
      <c r="F176" s="22">
        <f t="shared" si="10"/>
        <v>4506</v>
      </c>
      <c r="G176" s="20"/>
      <c r="H176" s="20"/>
      <c r="I176" s="22">
        <f t="shared" si="5"/>
        <v>10089</v>
      </c>
      <c r="J176">
        <f t="shared" si="8"/>
        <v>621204.6</v>
      </c>
    </row>
    <row r="177" spans="1:10" x14ac:dyDescent="0.25">
      <c r="A177" s="21" t="s">
        <v>266</v>
      </c>
      <c r="B177" s="21" t="s">
        <v>152</v>
      </c>
      <c r="C177" s="22">
        <v>93505</v>
      </c>
      <c r="D177" s="22">
        <f t="shared" si="9"/>
        <v>14717</v>
      </c>
      <c r="E177" s="22">
        <v>33830</v>
      </c>
      <c r="F177" s="22">
        <f t="shared" si="10"/>
        <v>4707</v>
      </c>
      <c r="G177" s="20"/>
      <c r="H177" s="20"/>
      <c r="I177" s="22">
        <f t="shared" si="5"/>
        <v>10010</v>
      </c>
      <c r="J177">
        <f t="shared" si="8"/>
        <v>615666.69999999995</v>
      </c>
    </row>
    <row r="178" spans="1:10" x14ac:dyDescent="0.25">
      <c r="A178" s="21" t="s">
        <v>267</v>
      </c>
      <c r="B178" s="21" t="s">
        <v>81</v>
      </c>
      <c r="C178" s="22">
        <v>93652</v>
      </c>
      <c r="D178" s="22">
        <f t="shared" si="9"/>
        <v>14864</v>
      </c>
      <c r="E178" s="22">
        <v>34031</v>
      </c>
      <c r="F178" s="22">
        <f t="shared" si="10"/>
        <v>4908</v>
      </c>
      <c r="G178" s="20"/>
      <c r="H178" s="20"/>
      <c r="I178" s="22">
        <f t="shared" si="5"/>
        <v>9956</v>
      </c>
      <c r="J178">
        <f t="shared" si="8"/>
        <v>611881.29999999993</v>
      </c>
    </row>
    <row r="179" spans="1:10" x14ac:dyDescent="0.25">
      <c r="A179" s="21" t="s">
        <v>268</v>
      </c>
      <c r="B179" s="21" t="s">
        <v>211</v>
      </c>
      <c r="C179" s="22">
        <v>93957</v>
      </c>
      <c r="D179" s="22">
        <f t="shared" si="9"/>
        <v>15169</v>
      </c>
      <c r="E179" s="22">
        <v>34419</v>
      </c>
      <c r="F179" s="22">
        <f t="shared" si="10"/>
        <v>5296</v>
      </c>
      <c r="G179" s="20"/>
      <c r="H179" s="20"/>
      <c r="I179" s="22">
        <f t="shared" si="5"/>
        <v>9873</v>
      </c>
      <c r="J179">
        <f t="shared" si="8"/>
        <v>606063</v>
      </c>
    </row>
    <row r="180" spans="1:10" x14ac:dyDescent="0.25">
      <c r="A180" s="21" t="s">
        <v>269</v>
      </c>
      <c r="B180" s="21" t="s">
        <v>40</v>
      </c>
      <c r="C180" s="22">
        <v>94053</v>
      </c>
      <c r="D180" s="22">
        <f t="shared" si="9"/>
        <v>15265</v>
      </c>
      <c r="E180" s="22">
        <v>34713</v>
      </c>
      <c r="F180" s="22">
        <f t="shared" si="10"/>
        <v>5590</v>
      </c>
      <c r="G180" s="20"/>
      <c r="H180" s="20"/>
      <c r="I180" s="22">
        <f t="shared" si="5"/>
        <v>9675</v>
      </c>
      <c r="J180">
        <f t="shared" si="8"/>
        <v>592183.19999999995</v>
      </c>
    </row>
    <row r="181" spans="1:10" x14ac:dyDescent="0.25">
      <c r="A181" s="21" t="s">
        <v>270</v>
      </c>
      <c r="B181" s="21" t="s">
        <v>40</v>
      </c>
      <c r="C181" s="22">
        <v>94147</v>
      </c>
      <c r="D181" s="22">
        <f t="shared" si="9"/>
        <v>15359</v>
      </c>
      <c r="E181" s="22">
        <v>35051</v>
      </c>
      <c r="F181" s="22">
        <f t="shared" si="10"/>
        <v>5928</v>
      </c>
      <c r="G181" s="20"/>
      <c r="H181" s="20"/>
      <c r="I181" s="22">
        <f t="shared" si="5"/>
        <v>9431</v>
      </c>
      <c r="J181">
        <f t="shared" si="8"/>
        <v>575078.80000000005</v>
      </c>
    </row>
    <row r="182" spans="1:10" x14ac:dyDescent="0.25">
      <c r="A182" s="21" t="s">
        <v>271</v>
      </c>
      <c r="B182" s="21" t="s">
        <v>200</v>
      </c>
      <c r="C182" s="22">
        <v>94267</v>
      </c>
      <c r="D182" s="22">
        <f t="shared" si="9"/>
        <v>15479</v>
      </c>
      <c r="E182" s="22">
        <v>35515</v>
      </c>
      <c r="F182" s="22">
        <f t="shared" si="10"/>
        <v>6392</v>
      </c>
      <c r="G182" s="20"/>
      <c r="H182" s="20"/>
      <c r="I182" s="22">
        <f t="shared" si="5"/>
        <v>9087</v>
      </c>
      <c r="J182">
        <f t="shared" si="8"/>
        <v>550964.39999999991</v>
      </c>
    </row>
    <row r="183" spans="1:10" x14ac:dyDescent="0.25">
      <c r="A183" s="21" t="s">
        <v>272</v>
      </c>
      <c r="B183" s="21" t="s">
        <v>273</v>
      </c>
      <c r="C183" s="22">
        <v>94331</v>
      </c>
      <c r="D183" s="22">
        <f t="shared" si="9"/>
        <v>15543</v>
      </c>
      <c r="E183" s="22">
        <v>35738</v>
      </c>
      <c r="F183" s="22">
        <f t="shared" si="10"/>
        <v>6615</v>
      </c>
      <c r="G183" s="20"/>
      <c r="H183" s="20"/>
      <c r="I183" s="22">
        <f t="shared" si="5"/>
        <v>8928</v>
      </c>
      <c r="J183">
        <f t="shared" si="8"/>
        <v>539818.5</v>
      </c>
    </row>
    <row r="184" spans="1:10" x14ac:dyDescent="0.25">
      <c r="A184" s="21" t="s">
        <v>274</v>
      </c>
      <c r="B184" s="21" t="s">
        <v>41</v>
      </c>
      <c r="C184" s="22">
        <v>94408</v>
      </c>
      <c r="D184" s="22">
        <f t="shared" si="9"/>
        <v>15620</v>
      </c>
      <c r="E184" s="22">
        <v>36126</v>
      </c>
      <c r="F184" s="22">
        <f t="shared" si="10"/>
        <v>7003</v>
      </c>
      <c r="G184" s="20"/>
      <c r="H184" s="20"/>
      <c r="I184" s="22">
        <f t="shared" si="5"/>
        <v>8617</v>
      </c>
      <c r="J184">
        <f t="shared" si="8"/>
        <v>518017.39999999997</v>
      </c>
    </row>
    <row r="185" spans="1:10" x14ac:dyDescent="0.25">
      <c r="A185" s="21" t="s">
        <v>275</v>
      </c>
      <c r="B185" s="21" t="s">
        <v>276</v>
      </c>
      <c r="C185" s="22">
        <v>94474</v>
      </c>
      <c r="D185" s="22">
        <f t="shared" si="9"/>
        <v>15686</v>
      </c>
      <c r="E185" s="22">
        <v>36253</v>
      </c>
      <c r="F185" s="22">
        <f t="shared" si="10"/>
        <v>7130</v>
      </c>
      <c r="G185" s="20"/>
      <c r="H185" s="20"/>
      <c r="I185" s="22">
        <f t="shared" si="5"/>
        <v>8556</v>
      </c>
      <c r="J185">
        <f t="shared" si="8"/>
        <v>513741.3</v>
      </c>
    </row>
    <row r="186" spans="1:10" x14ac:dyDescent="0.25">
      <c r="A186" s="21" t="s">
        <v>277</v>
      </c>
      <c r="B186" s="21" t="s">
        <v>114</v>
      </c>
      <c r="C186" s="22">
        <v>94514</v>
      </c>
      <c r="D186" s="22">
        <f t="shared" si="9"/>
        <v>15726</v>
      </c>
      <c r="E186" s="22">
        <v>36391</v>
      </c>
      <c r="F186" s="22">
        <f t="shared" si="10"/>
        <v>7268</v>
      </c>
      <c r="G186" s="20"/>
      <c r="H186" s="20"/>
      <c r="I186" s="22">
        <f t="shared" si="5"/>
        <v>8458</v>
      </c>
      <c r="J186">
        <f t="shared" si="8"/>
        <v>506871.49999999994</v>
      </c>
    </row>
    <row r="187" spans="1:10" x14ac:dyDescent="0.25">
      <c r="A187" s="21" t="s">
        <v>278</v>
      </c>
      <c r="B187" s="21" t="s">
        <v>12</v>
      </c>
      <c r="C187" s="22">
        <v>94565</v>
      </c>
      <c r="D187" s="22">
        <f t="shared" si="9"/>
        <v>15777</v>
      </c>
      <c r="E187" s="22">
        <v>36527</v>
      </c>
      <c r="F187" s="22">
        <f t="shared" si="10"/>
        <v>7404</v>
      </c>
      <c r="G187" s="20"/>
      <c r="H187" s="20"/>
      <c r="I187" s="22">
        <f t="shared" si="5"/>
        <v>8373</v>
      </c>
      <c r="J187">
        <f t="shared" si="8"/>
        <v>500912.99999999994</v>
      </c>
    </row>
    <row r="188" spans="1:10" x14ac:dyDescent="0.25">
      <c r="A188" s="21" t="s">
        <v>279</v>
      </c>
      <c r="B188" s="21" t="s">
        <v>276</v>
      </c>
      <c r="C188" s="22">
        <v>94639</v>
      </c>
      <c r="D188" s="22">
        <f t="shared" si="9"/>
        <v>15851</v>
      </c>
      <c r="E188" s="22">
        <v>36759</v>
      </c>
      <c r="F188" s="22">
        <f t="shared" si="10"/>
        <v>7636</v>
      </c>
      <c r="G188" s="20"/>
      <c r="H188" s="20"/>
      <c r="I188" s="22">
        <f t="shared" si="5"/>
        <v>8215</v>
      </c>
      <c r="J188">
        <f t="shared" si="8"/>
        <v>489837.19999999995</v>
      </c>
    </row>
    <row r="189" spans="1:10" x14ac:dyDescent="0.25">
      <c r="A189" s="21" t="s">
        <v>280</v>
      </c>
      <c r="B189" s="21" t="s">
        <v>65</v>
      </c>
      <c r="C189" s="22">
        <v>94688</v>
      </c>
      <c r="D189" s="22">
        <f t="shared" si="9"/>
        <v>15900</v>
      </c>
      <c r="E189" s="22">
        <v>36859</v>
      </c>
      <c r="F189" s="22">
        <f t="shared" si="10"/>
        <v>7736</v>
      </c>
      <c r="G189" s="20"/>
      <c r="H189" s="20"/>
      <c r="I189" s="22">
        <f t="shared" si="5"/>
        <v>8164</v>
      </c>
      <c r="J189">
        <f t="shared" si="8"/>
        <v>486262.1</v>
      </c>
    </row>
    <row r="190" spans="1:10" x14ac:dyDescent="0.25">
      <c r="A190" s="21" t="s">
        <v>281</v>
      </c>
      <c r="B190" s="21" t="s">
        <v>40</v>
      </c>
      <c r="C190" s="22">
        <v>94714</v>
      </c>
      <c r="D190" s="22">
        <f t="shared" si="9"/>
        <v>15926</v>
      </c>
      <c r="E190" s="22">
        <v>36930</v>
      </c>
      <c r="F190" s="22">
        <f t="shared" si="10"/>
        <v>7807</v>
      </c>
      <c r="G190" s="20"/>
      <c r="H190" s="20"/>
      <c r="I190" s="22">
        <f t="shared" si="5"/>
        <v>8119</v>
      </c>
      <c r="J190">
        <f t="shared" si="8"/>
        <v>483107.6</v>
      </c>
    </row>
    <row r="191" spans="1:10" x14ac:dyDescent="0.25">
      <c r="A191" s="21" t="s">
        <v>282</v>
      </c>
      <c r="B191" s="21" t="s">
        <v>170</v>
      </c>
      <c r="C191" s="22">
        <v>94767</v>
      </c>
      <c r="D191" s="22">
        <f t="shared" si="9"/>
        <v>15979</v>
      </c>
      <c r="E191" s="22">
        <v>37059</v>
      </c>
      <c r="F191" s="22">
        <f t="shared" si="10"/>
        <v>7936</v>
      </c>
      <c r="G191" s="20"/>
      <c r="H191" s="20"/>
      <c r="I191" s="22">
        <f t="shared" si="5"/>
        <v>8043</v>
      </c>
      <c r="J191">
        <f t="shared" si="8"/>
        <v>477779.99999999994</v>
      </c>
    </row>
    <row r="192" spans="1:10" x14ac:dyDescent="0.25">
      <c r="A192" s="21" t="s">
        <v>283</v>
      </c>
      <c r="B192" s="21" t="s">
        <v>167</v>
      </c>
      <c r="C192" s="22">
        <v>94791</v>
      </c>
      <c r="D192" s="22">
        <f t="shared" si="9"/>
        <v>16003</v>
      </c>
      <c r="E192" s="22">
        <v>37131</v>
      </c>
      <c r="F192" s="22">
        <f t="shared" si="10"/>
        <v>8008</v>
      </c>
      <c r="G192" s="20"/>
      <c r="H192" s="20"/>
      <c r="I192" s="22">
        <f t="shared" si="5"/>
        <v>7995</v>
      </c>
      <c r="J192">
        <f t="shared" si="8"/>
        <v>474415.19999999995</v>
      </c>
    </row>
    <row r="193" spans="1:11" s="16" customFormat="1" x14ac:dyDescent="0.25">
      <c r="A193" s="21" t="s">
        <v>283</v>
      </c>
      <c r="B193" s="21" t="s">
        <v>116</v>
      </c>
      <c r="C193" s="22">
        <v>94801</v>
      </c>
      <c r="D193" s="22">
        <f t="shared" si="9"/>
        <v>16013</v>
      </c>
      <c r="E193" s="22">
        <v>37146</v>
      </c>
      <c r="F193" s="22">
        <f t="shared" si="10"/>
        <v>8023</v>
      </c>
      <c r="G193" s="20"/>
      <c r="H193" s="20"/>
      <c r="I193" s="22">
        <f t="shared" si="5"/>
        <v>7990</v>
      </c>
      <c r="J193">
        <f t="shared" si="8"/>
        <v>474064.69999999995</v>
      </c>
    </row>
    <row r="194" spans="1:11" x14ac:dyDescent="0.25">
      <c r="A194" s="23" t="s">
        <v>284</v>
      </c>
      <c r="B194" s="23" t="s">
        <v>40</v>
      </c>
      <c r="C194" s="24">
        <v>94801</v>
      </c>
      <c r="D194" s="24">
        <f t="shared" ref="D194" si="11">C194-$C$193</f>
        <v>0</v>
      </c>
      <c r="E194" s="24">
        <v>37146</v>
      </c>
      <c r="F194" s="24">
        <f>E194-$E$193</f>
        <v>0</v>
      </c>
      <c r="G194" s="25"/>
      <c r="H194" s="25"/>
      <c r="I194" s="24">
        <f t="shared" si="5"/>
        <v>0</v>
      </c>
      <c r="J194">
        <f t="shared" si="8"/>
        <v>0</v>
      </c>
      <c r="K194" t="s">
        <v>292</v>
      </c>
    </row>
    <row r="195" spans="1:11" x14ac:dyDescent="0.25">
      <c r="A195" s="3" t="s">
        <v>285</v>
      </c>
      <c r="B195" s="3" t="s">
        <v>40</v>
      </c>
      <c r="C195" s="15">
        <v>95581</v>
      </c>
      <c r="D195" s="15">
        <f t="shared" ref="D195:D262" si="12">C195-$C$194</f>
        <v>780</v>
      </c>
      <c r="E195" s="15">
        <v>38736</v>
      </c>
      <c r="F195" s="15">
        <f>E195-$E$194</f>
        <v>1590</v>
      </c>
      <c r="I195" s="15">
        <f t="shared" si="5"/>
        <v>-810</v>
      </c>
      <c r="J195">
        <f t="shared" si="8"/>
        <v>4050</v>
      </c>
    </row>
    <row r="196" spans="1:11" x14ac:dyDescent="0.25">
      <c r="A196" s="3" t="s">
        <v>286</v>
      </c>
      <c r="B196" s="3" t="s">
        <v>152</v>
      </c>
      <c r="C196" s="15">
        <v>95620</v>
      </c>
      <c r="D196" s="15">
        <f t="shared" si="12"/>
        <v>819</v>
      </c>
      <c r="E196" s="15">
        <v>38767</v>
      </c>
      <c r="F196" s="15">
        <f t="shared" ref="F196:F262" si="13">E196-$E$194</f>
        <v>1621</v>
      </c>
      <c r="I196" s="15">
        <f t="shared" si="5"/>
        <v>-802</v>
      </c>
      <c r="J196">
        <f t="shared" ref="J196:J262" si="14">IF(I196&lt;0, ABS(I196)*5, IF(I196&lt;=2523, I196*36, 2523*36 + (I196-2523)*70.1))</f>
        <v>4010</v>
      </c>
      <c r="K196" s="17" t="s">
        <v>287</v>
      </c>
    </row>
    <row r="197" spans="1:11" x14ac:dyDescent="0.25">
      <c r="A197" s="3" t="s">
        <v>288</v>
      </c>
      <c r="B197" s="3" t="s">
        <v>99</v>
      </c>
      <c r="C197" s="15">
        <v>95739</v>
      </c>
      <c r="D197" s="15">
        <f t="shared" si="12"/>
        <v>938</v>
      </c>
      <c r="E197" s="15">
        <v>38847</v>
      </c>
      <c r="F197" s="15">
        <f t="shared" si="13"/>
        <v>1701</v>
      </c>
      <c r="I197" s="15">
        <f t="shared" si="5"/>
        <v>-763</v>
      </c>
      <c r="J197">
        <f t="shared" si="14"/>
        <v>3815</v>
      </c>
    </row>
    <row r="198" spans="1:11" x14ac:dyDescent="0.25">
      <c r="A198" s="3" t="s">
        <v>289</v>
      </c>
      <c r="B198" s="3" t="s">
        <v>12</v>
      </c>
      <c r="C198" s="15">
        <v>95921</v>
      </c>
      <c r="D198" s="15">
        <f t="shared" si="12"/>
        <v>1120</v>
      </c>
      <c r="E198" s="15">
        <v>38949</v>
      </c>
      <c r="F198" s="15">
        <f t="shared" si="13"/>
        <v>1803</v>
      </c>
      <c r="I198" s="15">
        <f t="shared" si="5"/>
        <v>-683</v>
      </c>
      <c r="J198">
        <f t="shared" si="14"/>
        <v>3415</v>
      </c>
    </row>
    <row r="199" spans="1:11" x14ac:dyDescent="0.25">
      <c r="A199" s="3" t="s">
        <v>290</v>
      </c>
      <c r="B199" s="3" t="s">
        <v>40</v>
      </c>
      <c r="C199" s="15">
        <v>96530</v>
      </c>
      <c r="D199" s="15">
        <f t="shared" si="12"/>
        <v>1729</v>
      </c>
      <c r="E199" s="15">
        <v>39165</v>
      </c>
      <c r="F199" s="15">
        <f t="shared" si="13"/>
        <v>2019</v>
      </c>
      <c r="I199" s="15">
        <f t="shared" si="5"/>
        <v>-290</v>
      </c>
      <c r="J199">
        <f t="shared" si="14"/>
        <v>1450</v>
      </c>
    </row>
    <row r="200" spans="1:11" x14ac:dyDescent="0.25">
      <c r="A200" s="3" t="s">
        <v>291</v>
      </c>
      <c r="B200" s="3" t="s">
        <v>40</v>
      </c>
      <c r="C200" s="15">
        <v>96797</v>
      </c>
      <c r="D200" s="15">
        <f t="shared" si="12"/>
        <v>1996</v>
      </c>
      <c r="E200" s="15">
        <v>39270</v>
      </c>
      <c r="F200" s="15">
        <f t="shared" si="13"/>
        <v>2124</v>
      </c>
      <c r="I200" s="15">
        <f t="shared" ref="I200:I247" si="15">D200-F200</f>
        <v>-128</v>
      </c>
      <c r="J200">
        <f t="shared" si="14"/>
        <v>640</v>
      </c>
    </row>
    <row r="201" spans="1:11" x14ac:dyDescent="0.25">
      <c r="A201" s="3" t="s">
        <v>293</v>
      </c>
      <c r="B201" s="3" t="s">
        <v>294</v>
      </c>
      <c r="C201" s="15">
        <v>97218</v>
      </c>
      <c r="D201" s="15">
        <f t="shared" si="12"/>
        <v>2417</v>
      </c>
      <c r="E201" s="15">
        <v>39347</v>
      </c>
      <c r="F201" s="15">
        <f t="shared" si="13"/>
        <v>2201</v>
      </c>
      <c r="I201" s="15">
        <f t="shared" si="15"/>
        <v>216</v>
      </c>
      <c r="J201">
        <f t="shared" si="14"/>
        <v>7776</v>
      </c>
    </row>
    <row r="202" spans="1:11" x14ac:dyDescent="0.25">
      <c r="A202" s="3" t="s">
        <v>295</v>
      </c>
      <c r="B202" s="3" t="s">
        <v>207</v>
      </c>
      <c r="C202" s="15">
        <v>97584</v>
      </c>
      <c r="D202" s="15">
        <f t="shared" si="12"/>
        <v>2783</v>
      </c>
      <c r="E202" s="15">
        <v>39360</v>
      </c>
      <c r="F202" s="15">
        <f t="shared" si="13"/>
        <v>2214</v>
      </c>
      <c r="I202" s="15">
        <f t="shared" si="15"/>
        <v>569</v>
      </c>
      <c r="J202">
        <f t="shared" si="14"/>
        <v>20484</v>
      </c>
    </row>
    <row r="203" spans="1:11" x14ac:dyDescent="0.25">
      <c r="A203" s="3" t="s">
        <v>296</v>
      </c>
      <c r="B203" s="3" t="s">
        <v>12</v>
      </c>
      <c r="C203" s="15">
        <v>98234</v>
      </c>
      <c r="D203" s="15">
        <f t="shared" si="12"/>
        <v>3433</v>
      </c>
      <c r="E203" s="15">
        <v>39374</v>
      </c>
      <c r="F203" s="15">
        <f t="shared" si="13"/>
        <v>2228</v>
      </c>
      <c r="I203" s="15">
        <f t="shared" si="15"/>
        <v>1205</v>
      </c>
      <c r="J203">
        <f t="shared" si="14"/>
        <v>43380</v>
      </c>
    </row>
    <row r="204" spans="1:11" x14ac:dyDescent="0.25">
      <c r="A204" s="3" t="s">
        <v>297</v>
      </c>
      <c r="B204" s="3" t="s">
        <v>95</v>
      </c>
      <c r="C204" s="15">
        <v>98463</v>
      </c>
      <c r="D204" s="15">
        <f t="shared" si="12"/>
        <v>3662</v>
      </c>
      <c r="E204" s="15">
        <v>39386</v>
      </c>
      <c r="F204" s="15">
        <f t="shared" si="13"/>
        <v>2240</v>
      </c>
      <c r="I204" s="15">
        <f t="shared" si="15"/>
        <v>1422</v>
      </c>
      <c r="J204">
        <f t="shared" si="14"/>
        <v>51192</v>
      </c>
    </row>
    <row r="205" spans="1:11" x14ac:dyDescent="0.25">
      <c r="A205" s="3" t="s">
        <v>298</v>
      </c>
      <c r="B205" s="3" t="s">
        <v>299</v>
      </c>
      <c r="C205" s="15">
        <v>99169</v>
      </c>
      <c r="D205" s="15">
        <f t="shared" si="12"/>
        <v>4368</v>
      </c>
      <c r="E205" s="15">
        <v>39395</v>
      </c>
      <c r="F205" s="15">
        <f t="shared" si="13"/>
        <v>2249</v>
      </c>
      <c r="I205" s="15">
        <f t="shared" si="15"/>
        <v>2119</v>
      </c>
      <c r="J205">
        <f t="shared" si="14"/>
        <v>76284</v>
      </c>
    </row>
    <row r="206" spans="1:11" x14ac:dyDescent="0.25">
      <c r="A206" s="3" t="s">
        <v>300</v>
      </c>
      <c r="B206" s="3" t="s">
        <v>217</v>
      </c>
      <c r="C206" s="15">
        <v>99450</v>
      </c>
      <c r="D206" s="15">
        <f t="shared" si="12"/>
        <v>4649</v>
      </c>
      <c r="E206" s="15">
        <v>39397</v>
      </c>
      <c r="F206" s="15">
        <f t="shared" si="13"/>
        <v>2251</v>
      </c>
      <c r="I206" s="15">
        <f t="shared" si="15"/>
        <v>2398</v>
      </c>
      <c r="J206">
        <f t="shared" si="14"/>
        <v>86328</v>
      </c>
    </row>
    <row r="207" spans="1:11" x14ac:dyDescent="0.25">
      <c r="A207" s="3" t="s">
        <v>301</v>
      </c>
      <c r="B207" s="3" t="s">
        <v>167</v>
      </c>
      <c r="C207" s="15">
        <v>100185</v>
      </c>
      <c r="D207" s="15">
        <f t="shared" si="12"/>
        <v>5384</v>
      </c>
      <c r="E207" s="15">
        <v>39399</v>
      </c>
      <c r="F207" s="15">
        <f t="shared" si="13"/>
        <v>2253</v>
      </c>
      <c r="I207" s="15">
        <f t="shared" si="15"/>
        <v>3131</v>
      </c>
      <c r="J207">
        <f t="shared" si="14"/>
        <v>133448.79999999999</v>
      </c>
    </row>
    <row r="208" spans="1:11" x14ac:dyDescent="0.25">
      <c r="A208" s="3" t="s">
        <v>302</v>
      </c>
      <c r="B208" s="3" t="s">
        <v>173</v>
      </c>
      <c r="C208" s="15">
        <v>100542</v>
      </c>
      <c r="D208" s="15">
        <f t="shared" si="12"/>
        <v>5741</v>
      </c>
      <c r="E208" s="15">
        <v>39404</v>
      </c>
      <c r="F208" s="15">
        <f t="shared" si="13"/>
        <v>2258</v>
      </c>
      <c r="I208" s="15">
        <f t="shared" si="15"/>
        <v>3483</v>
      </c>
      <c r="J208">
        <f t="shared" si="14"/>
        <v>158124</v>
      </c>
    </row>
    <row r="209" spans="1:10" x14ac:dyDescent="0.25">
      <c r="A209" s="3" t="s">
        <v>303</v>
      </c>
      <c r="B209" s="3" t="s">
        <v>67</v>
      </c>
      <c r="C209" s="15">
        <v>101480</v>
      </c>
      <c r="D209" s="15">
        <f t="shared" si="12"/>
        <v>6679</v>
      </c>
      <c r="E209" s="15">
        <v>39460</v>
      </c>
      <c r="F209" s="15">
        <f t="shared" si="13"/>
        <v>2314</v>
      </c>
      <c r="I209" s="15">
        <f t="shared" si="15"/>
        <v>4365</v>
      </c>
      <c r="J209">
        <f t="shared" si="14"/>
        <v>219952.19999999998</v>
      </c>
    </row>
    <row r="210" spans="1:10" x14ac:dyDescent="0.25">
      <c r="A210" s="3" t="s">
        <v>304</v>
      </c>
      <c r="B210" s="3" t="s">
        <v>195</v>
      </c>
      <c r="C210" s="15">
        <v>101905</v>
      </c>
      <c r="D210" s="15">
        <f t="shared" si="12"/>
        <v>7104</v>
      </c>
      <c r="E210" s="15">
        <v>39461</v>
      </c>
      <c r="F210" s="15">
        <f t="shared" si="13"/>
        <v>2315</v>
      </c>
      <c r="I210" s="15">
        <f t="shared" si="15"/>
        <v>4789</v>
      </c>
      <c r="J210">
        <f t="shared" si="14"/>
        <v>249674.59999999998</v>
      </c>
    </row>
    <row r="211" spans="1:10" x14ac:dyDescent="0.25">
      <c r="A211" s="3" t="s">
        <v>305</v>
      </c>
      <c r="B211" s="3" t="s">
        <v>40</v>
      </c>
      <c r="C211" s="15">
        <v>103309</v>
      </c>
      <c r="D211" s="15">
        <f t="shared" si="12"/>
        <v>8508</v>
      </c>
      <c r="E211" s="15">
        <v>39489</v>
      </c>
      <c r="F211" s="15">
        <f t="shared" si="13"/>
        <v>2343</v>
      </c>
      <c r="I211" s="15">
        <f t="shared" si="15"/>
        <v>6165</v>
      </c>
      <c r="J211">
        <f t="shared" si="14"/>
        <v>346132.19999999995</v>
      </c>
    </row>
    <row r="212" spans="1:10" x14ac:dyDescent="0.25">
      <c r="A212" s="3" t="s">
        <v>306</v>
      </c>
      <c r="B212" s="3" t="s">
        <v>217</v>
      </c>
      <c r="C212" s="15">
        <v>104818</v>
      </c>
      <c r="D212" s="15">
        <f t="shared" si="12"/>
        <v>10017</v>
      </c>
      <c r="E212" s="15">
        <v>39518</v>
      </c>
      <c r="F212" s="15">
        <f t="shared" si="13"/>
        <v>2372</v>
      </c>
      <c r="I212" s="15">
        <f t="shared" si="15"/>
        <v>7645</v>
      </c>
      <c r="J212">
        <f t="shared" si="14"/>
        <v>449880.19999999995</v>
      </c>
    </row>
    <row r="213" spans="1:10" x14ac:dyDescent="0.25">
      <c r="A213" s="3" t="s">
        <v>307</v>
      </c>
      <c r="B213" s="3" t="s">
        <v>308</v>
      </c>
      <c r="C213" s="15">
        <v>105295</v>
      </c>
      <c r="D213" s="15">
        <f t="shared" si="12"/>
        <v>10494</v>
      </c>
      <c r="E213" s="15">
        <v>39559</v>
      </c>
      <c r="F213" s="15">
        <f t="shared" si="13"/>
        <v>2413</v>
      </c>
      <c r="I213" s="15">
        <f t="shared" si="15"/>
        <v>8081</v>
      </c>
      <c r="J213">
        <f t="shared" si="14"/>
        <v>480443.8</v>
      </c>
    </row>
    <row r="214" spans="1:10" x14ac:dyDescent="0.25">
      <c r="A214" s="3" t="s">
        <v>309</v>
      </c>
      <c r="B214" s="3" t="s">
        <v>40</v>
      </c>
      <c r="C214" s="15">
        <v>105827</v>
      </c>
      <c r="D214" s="15">
        <f t="shared" si="12"/>
        <v>11026</v>
      </c>
      <c r="E214" s="15">
        <v>39611</v>
      </c>
      <c r="F214" s="15">
        <f t="shared" si="13"/>
        <v>2465</v>
      </c>
      <c r="I214" s="15">
        <f t="shared" si="15"/>
        <v>8561</v>
      </c>
      <c r="J214">
        <f t="shared" si="14"/>
        <v>514091.8</v>
      </c>
    </row>
    <row r="215" spans="1:10" x14ac:dyDescent="0.25">
      <c r="A215" s="3" t="s">
        <v>310</v>
      </c>
      <c r="B215" s="3" t="s">
        <v>40</v>
      </c>
      <c r="C215" s="15">
        <v>106348</v>
      </c>
      <c r="D215" s="15">
        <f t="shared" si="12"/>
        <v>11547</v>
      </c>
      <c r="E215" s="15">
        <v>39645</v>
      </c>
      <c r="F215" s="15">
        <f t="shared" si="13"/>
        <v>2499</v>
      </c>
      <c r="I215" s="15">
        <f t="shared" si="15"/>
        <v>9048</v>
      </c>
      <c r="J215">
        <f t="shared" si="14"/>
        <v>548230.5</v>
      </c>
    </row>
    <row r="216" spans="1:10" x14ac:dyDescent="0.25">
      <c r="A216" s="3" t="s">
        <v>311</v>
      </c>
      <c r="B216" s="3" t="s">
        <v>40</v>
      </c>
      <c r="C216" s="15">
        <v>106778</v>
      </c>
      <c r="D216" s="15">
        <f t="shared" si="12"/>
        <v>11977</v>
      </c>
      <c r="E216" s="15">
        <v>39801</v>
      </c>
      <c r="F216" s="15">
        <f t="shared" si="13"/>
        <v>2655</v>
      </c>
      <c r="I216" s="15">
        <f t="shared" si="15"/>
        <v>9322</v>
      </c>
      <c r="J216">
        <f t="shared" si="14"/>
        <v>567437.89999999991</v>
      </c>
    </row>
    <row r="217" spans="1:10" x14ac:dyDescent="0.25">
      <c r="A217" s="3" t="s">
        <v>312</v>
      </c>
      <c r="B217" s="3" t="s">
        <v>207</v>
      </c>
      <c r="C217" s="15">
        <v>106873</v>
      </c>
      <c r="D217" s="15">
        <f t="shared" si="12"/>
        <v>12072</v>
      </c>
      <c r="E217" s="15">
        <v>39838</v>
      </c>
      <c r="F217" s="15">
        <f t="shared" si="13"/>
        <v>2692</v>
      </c>
      <c r="I217" s="15">
        <f t="shared" si="15"/>
        <v>9380</v>
      </c>
      <c r="J217">
        <f t="shared" si="14"/>
        <v>571503.69999999995</v>
      </c>
    </row>
    <row r="218" spans="1:10" x14ac:dyDescent="0.25">
      <c r="A218" s="3" t="s">
        <v>313</v>
      </c>
      <c r="B218" s="3" t="s">
        <v>314</v>
      </c>
      <c r="C218" s="15">
        <v>107229</v>
      </c>
      <c r="D218" s="15">
        <f t="shared" si="12"/>
        <v>12428</v>
      </c>
      <c r="E218" s="15">
        <v>40042</v>
      </c>
      <c r="F218" s="15">
        <f t="shared" si="13"/>
        <v>2896</v>
      </c>
      <c r="I218" s="15">
        <f t="shared" si="15"/>
        <v>9532</v>
      </c>
      <c r="J218">
        <f t="shared" si="14"/>
        <v>582158.89999999991</v>
      </c>
    </row>
    <row r="219" spans="1:10" x14ac:dyDescent="0.25">
      <c r="A219" s="3" t="s">
        <v>315</v>
      </c>
      <c r="B219" s="3" t="s">
        <v>72</v>
      </c>
      <c r="C219" s="15">
        <v>107357</v>
      </c>
      <c r="D219" s="15">
        <f t="shared" si="12"/>
        <v>12556</v>
      </c>
      <c r="E219" s="15">
        <v>40151</v>
      </c>
      <c r="F219" s="15">
        <f t="shared" si="13"/>
        <v>3005</v>
      </c>
      <c r="I219" s="15">
        <f t="shared" si="15"/>
        <v>9551</v>
      </c>
      <c r="J219">
        <f t="shared" si="14"/>
        <v>583490.80000000005</v>
      </c>
    </row>
    <row r="220" spans="1:10" x14ac:dyDescent="0.25">
      <c r="A220" s="3" t="s">
        <v>316</v>
      </c>
      <c r="B220" s="3" t="s">
        <v>40</v>
      </c>
      <c r="C220" s="15">
        <v>107933</v>
      </c>
      <c r="D220" s="15">
        <f t="shared" si="12"/>
        <v>13132</v>
      </c>
      <c r="E220" s="15">
        <v>40432</v>
      </c>
      <c r="F220" s="15">
        <f t="shared" si="13"/>
        <v>3286</v>
      </c>
      <c r="I220" s="15">
        <f t="shared" si="15"/>
        <v>9846</v>
      </c>
      <c r="J220">
        <f t="shared" si="14"/>
        <v>604170.29999999993</v>
      </c>
    </row>
    <row r="221" spans="1:10" x14ac:dyDescent="0.25">
      <c r="A221" s="3" t="s">
        <v>317</v>
      </c>
      <c r="B221" s="3" t="s">
        <v>40</v>
      </c>
      <c r="C221" s="15">
        <v>108178</v>
      </c>
      <c r="D221" s="15">
        <f t="shared" si="12"/>
        <v>13377</v>
      </c>
      <c r="E221" s="15">
        <v>40459</v>
      </c>
      <c r="F221" s="15">
        <f t="shared" si="13"/>
        <v>3313</v>
      </c>
      <c r="I221" s="15">
        <f t="shared" si="15"/>
        <v>10064</v>
      </c>
      <c r="J221">
        <f t="shared" si="14"/>
        <v>619452.1</v>
      </c>
    </row>
    <row r="222" spans="1:10" x14ac:dyDescent="0.25">
      <c r="A222" s="3" t="s">
        <v>318</v>
      </c>
      <c r="B222" s="3" t="s">
        <v>65</v>
      </c>
      <c r="C222" s="15">
        <v>108900</v>
      </c>
      <c r="D222" s="15">
        <f t="shared" si="12"/>
        <v>14099</v>
      </c>
      <c r="E222" s="15">
        <v>41003</v>
      </c>
      <c r="F222" s="15">
        <f t="shared" si="13"/>
        <v>3857</v>
      </c>
      <c r="I222" s="15">
        <f t="shared" si="15"/>
        <v>10242</v>
      </c>
      <c r="J222">
        <f t="shared" si="14"/>
        <v>631929.89999999991</v>
      </c>
    </row>
    <row r="223" spans="1:10" x14ac:dyDescent="0.25">
      <c r="A223" s="3" t="s">
        <v>319</v>
      </c>
      <c r="B223" s="3" t="s">
        <v>29</v>
      </c>
      <c r="C223" s="15">
        <v>109002</v>
      </c>
      <c r="D223" s="15">
        <f t="shared" si="12"/>
        <v>14201</v>
      </c>
      <c r="E223" s="15">
        <v>41162</v>
      </c>
      <c r="F223" s="15">
        <f t="shared" si="13"/>
        <v>4016</v>
      </c>
      <c r="I223" s="15">
        <f t="shared" si="15"/>
        <v>10185</v>
      </c>
      <c r="J223">
        <f t="shared" si="14"/>
        <v>627934.19999999995</v>
      </c>
    </row>
    <row r="224" spans="1:10" x14ac:dyDescent="0.25">
      <c r="A224" s="3" t="s">
        <v>320</v>
      </c>
      <c r="B224" s="3" t="s">
        <v>79</v>
      </c>
      <c r="C224" s="15">
        <v>109114</v>
      </c>
      <c r="D224" s="15">
        <f t="shared" si="12"/>
        <v>14313</v>
      </c>
      <c r="E224" s="15">
        <v>41330</v>
      </c>
      <c r="F224" s="15">
        <f t="shared" si="13"/>
        <v>4184</v>
      </c>
      <c r="I224" s="15">
        <f t="shared" si="15"/>
        <v>10129</v>
      </c>
      <c r="J224">
        <f t="shared" si="14"/>
        <v>624008.6</v>
      </c>
    </row>
    <row r="225" spans="1:11" x14ac:dyDescent="0.25">
      <c r="A225" s="3" t="s">
        <v>321</v>
      </c>
      <c r="B225" s="3" t="s">
        <v>65</v>
      </c>
      <c r="C225" s="15">
        <v>109161</v>
      </c>
      <c r="D225" s="15">
        <f t="shared" si="12"/>
        <v>14360</v>
      </c>
      <c r="E225" s="15">
        <v>41394</v>
      </c>
      <c r="F225" s="15">
        <f t="shared" si="13"/>
        <v>4248</v>
      </c>
      <c r="I225" s="15">
        <f t="shared" si="15"/>
        <v>10112</v>
      </c>
      <c r="J225">
        <f t="shared" si="14"/>
        <v>622816.89999999991</v>
      </c>
    </row>
    <row r="226" spans="1:11" x14ac:dyDescent="0.25">
      <c r="A226" s="3" t="s">
        <v>322</v>
      </c>
      <c r="B226" s="3" t="s">
        <v>167</v>
      </c>
      <c r="C226" s="15">
        <v>109179</v>
      </c>
      <c r="D226" s="15">
        <f t="shared" si="12"/>
        <v>14378</v>
      </c>
      <c r="E226" s="15">
        <v>41448</v>
      </c>
      <c r="F226" s="15">
        <f t="shared" si="13"/>
        <v>4302</v>
      </c>
      <c r="I226" s="15">
        <f t="shared" si="15"/>
        <v>10076</v>
      </c>
      <c r="J226">
        <f t="shared" si="14"/>
        <v>620293.29999999993</v>
      </c>
    </row>
    <row r="227" spans="1:11" x14ac:dyDescent="0.25">
      <c r="A227" s="3" t="s">
        <v>323</v>
      </c>
      <c r="B227" s="3" t="s">
        <v>81</v>
      </c>
      <c r="C227" s="15">
        <v>109269</v>
      </c>
      <c r="D227" s="15">
        <f t="shared" si="12"/>
        <v>14468</v>
      </c>
      <c r="E227" s="15">
        <v>41592</v>
      </c>
      <c r="F227" s="15">
        <f t="shared" si="13"/>
        <v>4446</v>
      </c>
      <c r="I227" s="15">
        <f t="shared" si="15"/>
        <v>10022</v>
      </c>
      <c r="J227">
        <f t="shared" si="14"/>
        <v>616507.89999999991</v>
      </c>
    </row>
    <row r="228" spans="1:11" x14ac:dyDescent="0.25">
      <c r="A228" s="3" t="s">
        <v>324</v>
      </c>
      <c r="B228" s="3" t="s">
        <v>86</v>
      </c>
      <c r="C228" s="15">
        <v>109350</v>
      </c>
      <c r="D228" s="15">
        <f t="shared" si="12"/>
        <v>14549</v>
      </c>
      <c r="E228" s="15">
        <v>41773</v>
      </c>
      <c r="F228" s="15">
        <f t="shared" si="13"/>
        <v>4627</v>
      </c>
      <c r="I228" s="15">
        <f t="shared" si="15"/>
        <v>9922</v>
      </c>
      <c r="J228">
        <f t="shared" si="14"/>
        <v>609497.89999999991</v>
      </c>
      <c r="K228" t="s">
        <v>325</v>
      </c>
    </row>
    <row r="229" spans="1:11" x14ac:dyDescent="0.25">
      <c r="A229" s="3" t="s">
        <v>326</v>
      </c>
      <c r="B229" s="3" t="s">
        <v>40</v>
      </c>
      <c r="C229" s="15">
        <v>109383</v>
      </c>
      <c r="D229" s="15">
        <f t="shared" si="12"/>
        <v>14582</v>
      </c>
      <c r="E229" s="15">
        <v>41821</v>
      </c>
      <c r="F229" s="15">
        <f t="shared" si="13"/>
        <v>4675</v>
      </c>
      <c r="I229" s="15">
        <f t="shared" si="15"/>
        <v>9907</v>
      </c>
      <c r="J229">
        <f t="shared" si="14"/>
        <v>608446.39999999991</v>
      </c>
    </row>
    <row r="230" spans="1:11" x14ac:dyDescent="0.25">
      <c r="A230" s="3" t="s">
        <v>327</v>
      </c>
      <c r="B230" s="3" t="s">
        <v>65</v>
      </c>
      <c r="C230" s="15">
        <v>109564</v>
      </c>
      <c r="D230" s="15">
        <f t="shared" si="12"/>
        <v>14763</v>
      </c>
      <c r="E230" s="15">
        <v>42135</v>
      </c>
      <c r="F230" s="15">
        <f t="shared" si="13"/>
        <v>4989</v>
      </c>
      <c r="I230" s="15">
        <f t="shared" si="15"/>
        <v>9774</v>
      </c>
      <c r="J230">
        <f t="shared" si="14"/>
        <v>599123.1</v>
      </c>
    </row>
    <row r="231" spans="1:11" x14ac:dyDescent="0.25">
      <c r="A231" s="3" t="s">
        <v>328</v>
      </c>
      <c r="B231" s="3" t="s">
        <v>329</v>
      </c>
      <c r="C231" s="15">
        <v>109618</v>
      </c>
      <c r="D231" s="15">
        <f t="shared" si="12"/>
        <v>14817</v>
      </c>
      <c r="E231" s="15">
        <v>42326</v>
      </c>
      <c r="F231" s="15">
        <f t="shared" si="13"/>
        <v>5180</v>
      </c>
      <c r="I231" s="15">
        <f t="shared" si="15"/>
        <v>9637</v>
      </c>
      <c r="J231">
        <f t="shared" si="14"/>
        <v>589519.39999999991</v>
      </c>
    </row>
    <row r="232" spans="1:11" x14ac:dyDescent="0.25">
      <c r="A232" s="3" t="s">
        <v>330</v>
      </c>
      <c r="B232" s="3" t="s">
        <v>40</v>
      </c>
      <c r="C232" s="15">
        <v>109640</v>
      </c>
      <c r="D232" s="15">
        <f t="shared" si="12"/>
        <v>14839</v>
      </c>
      <c r="E232" s="15">
        <v>42379</v>
      </c>
      <c r="F232" s="15">
        <f t="shared" si="13"/>
        <v>5233</v>
      </c>
      <c r="I232" s="15">
        <f t="shared" si="15"/>
        <v>9606</v>
      </c>
      <c r="J232">
        <f t="shared" si="14"/>
        <v>587346.30000000005</v>
      </c>
    </row>
    <row r="233" spans="1:11" x14ac:dyDescent="0.25">
      <c r="A233" s="3" t="s">
        <v>331</v>
      </c>
      <c r="B233" s="3" t="s">
        <v>332</v>
      </c>
      <c r="C233" s="15">
        <v>109671</v>
      </c>
      <c r="D233" s="15">
        <f t="shared" si="12"/>
        <v>14870</v>
      </c>
      <c r="E233" s="15">
        <v>42491</v>
      </c>
      <c r="F233" s="15">
        <f t="shared" si="13"/>
        <v>5345</v>
      </c>
      <c r="I233" s="15">
        <f t="shared" si="15"/>
        <v>9525</v>
      </c>
      <c r="J233">
        <f t="shared" si="14"/>
        <v>581668.19999999995</v>
      </c>
    </row>
    <row r="234" spans="1:11" x14ac:dyDescent="0.25">
      <c r="A234" s="3" t="s">
        <v>333</v>
      </c>
      <c r="B234" s="3" t="s">
        <v>41</v>
      </c>
      <c r="C234" s="15">
        <v>109698</v>
      </c>
      <c r="D234" s="15">
        <f t="shared" si="12"/>
        <v>14897</v>
      </c>
      <c r="E234" s="15">
        <v>42594</v>
      </c>
      <c r="F234" s="15">
        <f t="shared" si="13"/>
        <v>5448</v>
      </c>
      <c r="I234" s="15">
        <f t="shared" si="15"/>
        <v>9449</v>
      </c>
      <c r="J234">
        <f t="shared" si="14"/>
        <v>576340.6</v>
      </c>
    </row>
    <row r="235" spans="1:11" x14ac:dyDescent="0.25">
      <c r="A235" s="3" t="s">
        <v>334</v>
      </c>
      <c r="B235" s="3" t="s">
        <v>29</v>
      </c>
      <c r="C235" s="15">
        <v>109757</v>
      </c>
      <c r="D235" s="15">
        <f t="shared" si="12"/>
        <v>14956</v>
      </c>
      <c r="E235" s="15">
        <v>42713</v>
      </c>
      <c r="F235" s="15">
        <f t="shared" si="13"/>
        <v>5567</v>
      </c>
      <c r="I235" s="15">
        <f t="shared" si="15"/>
        <v>9389</v>
      </c>
      <c r="J235">
        <f t="shared" si="14"/>
        <v>572134.6</v>
      </c>
    </row>
    <row r="236" spans="1:11" x14ac:dyDescent="0.25">
      <c r="A236" s="3" t="s">
        <v>335</v>
      </c>
      <c r="B236" s="3" t="s">
        <v>173</v>
      </c>
      <c r="C236" s="15">
        <v>109768</v>
      </c>
      <c r="D236" s="15">
        <f t="shared" si="12"/>
        <v>14967</v>
      </c>
      <c r="E236" s="15">
        <v>42722</v>
      </c>
      <c r="F236" s="15">
        <f t="shared" si="13"/>
        <v>5576</v>
      </c>
      <c r="I236" s="15">
        <f t="shared" si="15"/>
        <v>9391</v>
      </c>
      <c r="J236">
        <f t="shared" si="14"/>
        <v>572274.80000000005</v>
      </c>
    </row>
    <row r="237" spans="1:11" x14ac:dyDescent="0.25">
      <c r="A237" s="3" t="s">
        <v>336</v>
      </c>
      <c r="B237" s="3" t="s">
        <v>173</v>
      </c>
      <c r="C237" s="15">
        <v>109782</v>
      </c>
      <c r="D237" s="15">
        <f t="shared" si="12"/>
        <v>14981</v>
      </c>
      <c r="E237" s="15">
        <v>42737</v>
      </c>
      <c r="F237" s="15">
        <f t="shared" si="13"/>
        <v>5591</v>
      </c>
      <c r="I237" s="15">
        <f t="shared" si="15"/>
        <v>9390</v>
      </c>
      <c r="J237">
        <f t="shared" si="14"/>
        <v>572204.69999999995</v>
      </c>
    </row>
    <row r="238" spans="1:11" x14ac:dyDescent="0.25">
      <c r="A238" s="3" t="s">
        <v>337</v>
      </c>
      <c r="B238" s="3" t="s">
        <v>76</v>
      </c>
      <c r="C238" s="15">
        <v>109875</v>
      </c>
      <c r="D238" s="15">
        <f t="shared" si="12"/>
        <v>15074</v>
      </c>
      <c r="E238" s="15">
        <v>43017</v>
      </c>
      <c r="F238" s="15">
        <f t="shared" si="13"/>
        <v>5871</v>
      </c>
      <c r="I238" s="15">
        <f t="shared" si="15"/>
        <v>9203</v>
      </c>
      <c r="J238">
        <f t="shared" si="14"/>
        <v>559096</v>
      </c>
    </row>
    <row r="239" spans="1:11" x14ac:dyDescent="0.25">
      <c r="A239" s="3" t="s">
        <v>338</v>
      </c>
      <c r="B239" s="3" t="s">
        <v>299</v>
      </c>
      <c r="C239" s="15">
        <v>109944</v>
      </c>
      <c r="D239" s="15">
        <f t="shared" si="12"/>
        <v>15143</v>
      </c>
      <c r="E239" s="15">
        <v>43156</v>
      </c>
      <c r="F239" s="15">
        <f t="shared" si="13"/>
        <v>6010</v>
      </c>
      <c r="I239" s="15">
        <f t="shared" si="15"/>
        <v>9133</v>
      </c>
      <c r="J239">
        <f t="shared" si="14"/>
        <v>554189</v>
      </c>
    </row>
    <row r="240" spans="1:11" x14ac:dyDescent="0.25">
      <c r="A240" s="3" t="s">
        <v>339</v>
      </c>
      <c r="B240" s="3" t="s">
        <v>67</v>
      </c>
      <c r="C240" s="15">
        <v>110022</v>
      </c>
      <c r="D240" s="15">
        <f t="shared" si="12"/>
        <v>15221</v>
      </c>
      <c r="E240" s="15">
        <v>43365</v>
      </c>
      <c r="F240" s="15">
        <f t="shared" si="13"/>
        <v>6219</v>
      </c>
      <c r="I240" s="15">
        <f t="shared" si="15"/>
        <v>9002</v>
      </c>
      <c r="J240">
        <f t="shared" si="14"/>
        <v>545005.89999999991</v>
      </c>
    </row>
    <row r="241" spans="1:10" x14ac:dyDescent="0.25">
      <c r="A241" s="3" t="s">
        <v>340</v>
      </c>
      <c r="B241" s="3" t="s">
        <v>99</v>
      </c>
      <c r="C241" s="15">
        <v>110065</v>
      </c>
      <c r="D241" s="15">
        <f t="shared" si="12"/>
        <v>15264</v>
      </c>
      <c r="E241" s="15">
        <v>43485</v>
      </c>
      <c r="F241" s="15">
        <f t="shared" si="13"/>
        <v>6339</v>
      </c>
      <c r="I241" s="15">
        <f t="shared" si="15"/>
        <v>8925</v>
      </c>
      <c r="J241">
        <f t="shared" si="14"/>
        <v>539608.19999999995</v>
      </c>
    </row>
    <row r="242" spans="1:10" x14ac:dyDescent="0.25">
      <c r="A242" s="3" t="s">
        <v>341</v>
      </c>
      <c r="B242" s="3" t="s">
        <v>99</v>
      </c>
      <c r="C242" s="15">
        <v>110100</v>
      </c>
      <c r="D242" s="15">
        <f t="shared" si="12"/>
        <v>15299</v>
      </c>
      <c r="E242" s="15">
        <v>43563</v>
      </c>
      <c r="F242" s="15">
        <f t="shared" si="13"/>
        <v>6417</v>
      </c>
      <c r="I242" s="15">
        <f t="shared" si="15"/>
        <v>8882</v>
      </c>
      <c r="J242">
        <f t="shared" si="14"/>
        <v>536593.89999999991</v>
      </c>
    </row>
    <row r="243" spans="1:10" x14ac:dyDescent="0.25">
      <c r="A243" s="3" t="s">
        <v>342</v>
      </c>
      <c r="B243" s="3" t="s">
        <v>99</v>
      </c>
      <c r="C243" s="15">
        <v>110133</v>
      </c>
      <c r="D243" s="15">
        <f t="shared" si="12"/>
        <v>15332</v>
      </c>
      <c r="E243" s="15">
        <v>43643</v>
      </c>
      <c r="F243" s="15">
        <f t="shared" si="13"/>
        <v>6497</v>
      </c>
      <c r="I243" s="15">
        <f t="shared" si="15"/>
        <v>8835</v>
      </c>
      <c r="J243">
        <f t="shared" si="14"/>
        <v>533299.19999999995</v>
      </c>
    </row>
    <row r="244" spans="1:10" x14ac:dyDescent="0.25">
      <c r="A244" s="3" t="s">
        <v>343</v>
      </c>
      <c r="B244" s="3" t="s">
        <v>35</v>
      </c>
      <c r="C244" s="15">
        <v>110177</v>
      </c>
      <c r="D244" s="15">
        <f t="shared" si="12"/>
        <v>15376</v>
      </c>
      <c r="E244" s="15">
        <v>43744</v>
      </c>
      <c r="F244" s="15">
        <f t="shared" si="13"/>
        <v>6598</v>
      </c>
      <c r="I244" s="15">
        <f t="shared" si="15"/>
        <v>8778</v>
      </c>
      <c r="J244">
        <f t="shared" si="14"/>
        <v>529303.5</v>
      </c>
    </row>
    <row r="245" spans="1:10" x14ac:dyDescent="0.25">
      <c r="A245" s="3" t="s">
        <v>344</v>
      </c>
      <c r="B245" s="3" t="s">
        <v>207</v>
      </c>
      <c r="C245" s="15">
        <v>110199</v>
      </c>
      <c r="D245" s="15">
        <f t="shared" si="12"/>
        <v>15398</v>
      </c>
      <c r="E245" s="15">
        <v>43750</v>
      </c>
      <c r="F245" s="15">
        <f t="shared" si="13"/>
        <v>6604</v>
      </c>
      <c r="I245" s="15">
        <f t="shared" si="15"/>
        <v>8794</v>
      </c>
      <c r="J245">
        <f t="shared" si="14"/>
        <v>530425.1</v>
      </c>
    </row>
    <row r="246" spans="1:10" x14ac:dyDescent="0.25">
      <c r="A246" s="3" t="s">
        <v>345</v>
      </c>
      <c r="B246" s="3" t="s">
        <v>41</v>
      </c>
      <c r="C246" s="15">
        <v>110257</v>
      </c>
      <c r="D246" s="15">
        <f t="shared" si="12"/>
        <v>15456</v>
      </c>
      <c r="E246" s="15">
        <v>43926</v>
      </c>
      <c r="F246" s="15">
        <f t="shared" si="13"/>
        <v>6780</v>
      </c>
      <c r="I246" s="15">
        <f t="shared" si="15"/>
        <v>8676</v>
      </c>
      <c r="J246">
        <f t="shared" si="14"/>
        <v>522153.3</v>
      </c>
    </row>
    <row r="247" spans="1:10" x14ac:dyDescent="0.25">
      <c r="A247" s="3" t="s">
        <v>346</v>
      </c>
      <c r="B247" s="3" t="s">
        <v>173</v>
      </c>
      <c r="C247" s="15">
        <v>110284</v>
      </c>
      <c r="D247" s="15">
        <f t="shared" si="12"/>
        <v>15483</v>
      </c>
      <c r="E247" s="15">
        <v>43952</v>
      </c>
      <c r="F247" s="15">
        <f t="shared" si="13"/>
        <v>6806</v>
      </c>
      <c r="I247" s="15">
        <f t="shared" si="15"/>
        <v>8677</v>
      </c>
      <c r="J247">
        <f t="shared" si="14"/>
        <v>522223.39999999997</v>
      </c>
    </row>
    <row r="248" spans="1:10" x14ac:dyDescent="0.25">
      <c r="A248" s="3" t="s">
        <v>347</v>
      </c>
      <c r="B248" s="3" t="s">
        <v>153</v>
      </c>
      <c r="C248" s="15">
        <v>110314</v>
      </c>
      <c r="D248" s="15">
        <f t="shared" si="12"/>
        <v>15513</v>
      </c>
      <c r="E248" s="15">
        <v>44122</v>
      </c>
      <c r="F248" s="15">
        <f t="shared" si="13"/>
        <v>6976</v>
      </c>
      <c r="I248" s="15">
        <f t="shared" ref="I248:I262" si="16">D248-F248</f>
        <v>8537</v>
      </c>
      <c r="J248">
        <f t="shared" si="14"/>
        <v>512409.39999999997</v>
      </c>
    </row>
    <row r="249" spans="1:10" x14ac:dyDescent="0.25">
      <c r="A249" s="3" t="s">
        <v>348</v>
      </c>
      <c r="B249" s="3" t="s">
        <v>200</v>
      </c>
      <c r="C249" s="15">
        <v>110342</v>
      </c>
      <c r="D249" s="15">
        <f t="shared" si="12"/>
        <v>15541</v>
      </c>
      <c r="E249" s="15">
        <v>44179</v>
      </c>
      <c r="F249" s="15">
        <f t="shared" si="13"/>
        <v>7033</v>
      </c>
      <c r="I249" s="15">
        <f t="shared" si="16"/>
        <v>8508</v>
      </c>
      <c r="J249">
        <f t="shared" si="14"/>
        <v>510376.49999999994</v>
      </c>
    </row>
    <row r="250" spans="1:10" x14ac:dyDescent="0.25">
      <c r="A250" s="3" t="s">
        <v>349</v>
      </c>
      <c r="B250" s="3" t="s">
        <v>350</v>
      </c>
      <c r="C250" s="15">
        <v>110356</v>
      </c>
      <c r="D250" s="15">
        <f t="shared" si="12"/>
        <v>15555</v>
      </c>
      <c r="E250" s="15">
        <v>44219</v>
      </c>
      <c r="F250" s="15">
        <f t="shared" si="13"/>
        <v>7073</v>
      </c>
      <c r="I250" s="15">
        <f t="shared" si="16"/>
        <v>8482</v>
      </c>
      <c r="J250">
        <f t="shared" si="14"/>
        <v>508553.89999999997</v>
      </c>
    </row>
    <row r="251" spans="1:10" x14ac:dyDescent="0.25">
      <c r="A251" s="3" t="s">
        <v>351</v>
      </c>
      <c r="B251" s="3" t="s">
        <v>38</v>
      </c>
      <c r="C251" s="15">
        <v>110390</v>
      </c>
      <c r="D251" s="15">
        <f t="shared" si="12"/>
        <v>15589</v>
      </c>
      <c r="E251" s="15">
        <v>44285</v>
      </c>
      <c r="F251" s="15">
        <f t="shared" si="13"/>
        <v>7139</v>
      </c>
      <c r="I251" s="15">
        <f t="shared" si="16"/>
        <v>8450</v>
      </c>
      <c r="J251">
        <f t="shared" si="14"/>
        <v>506310.69999999995</v>
      </c>
    </row>
    <row r="252" spans="1:10" x14ac:dyDescent="0.25">
      <c r="A252" s="3" t="s">
        <v>352</v>
      </c>
      <c r="B252" s="3" t="s">
        <v>76</v>
      </c>
      <c r="C252" s="15">
        <v>110408</v>
      </c>
      <c r="D252" s="15">
        <f t="shared" si="12"/>
        <v>15607</v>
      </c>
      <c r="E252" s="15">
        <v>44318</v>
      </c>
      <c r="F252" s="15">
        <f t="shared" si="13"/>
        <v>7172</v>
      </c>
      <c r="I252" s="15">
        <f t="shared" si="16"/>
        <v>8435</v>
      </c>
      <c r="J252">
        <f t="shared" si="14"/>
        <v>505259.19999999995</v>
      </c>
    </row>
    <row r="253" spans="1:10" x14ac:dyDescent="0.25">
      <c r="A253" s="3" t="s">
        <v>353</v>
      </c>
      <c r="B253" s="3" t="s">
        <v>299</v>
      </c>
      <c r="C253" s="15">
        <v>110451</v>
      </c>
      <c r="D253" s="15">
        <f t="shared" si="12"/>
        <v>15650</v>
      </c>
      <c r="E253" s="15">
        <v>44401</v>
      </c>
      <c r="F253" s="15">
        <f t="shared" si="13"/>
        <v>7255</v>
      </c>
      <c r="I253" s="15">
        <f t="shared" si="16"/>
        <v>8395</v>
      </c>
      <c r="J253">
        <f t="shared" si="14"/>
        <v>502455.19999999995</v>
      </c>
    </row>
    <row r="254" spans="1:10" x14ac:dyDescent="0.25">
      <c r="A254" s="3" t="s">
        <v>354</v>
      </c>
      <c r="B254" s="3" t="s">
        <v>41</v>
      </c>
      <c r="C254" s="15">
        <v>110480</v>
      </c>
      <c r="D254" s="15">
        <f t="shared" si="12"/>
        <v>15679</v>
      </c>
      <c r="E254" s="15">
        <v>44477</v>
      </c>
      <c r="F254" s="15">
        <f t="shared" si="13"/>
        <v>7331</v>
      </c>
      <c r="I254" s="15">
        <f t="shared" si="16"/>
        <v>8348</v>
      </c>
      <c r="J254">
        <f t="shared" si="14"/>
        <v>499160.49999999994</v>
      </c>
    </row>
    <row r="255" spans="1:10" x14ac:dyDescent="0.25">
      <c r="A255" s="3" t="s">
        <v>355</v>
      </c>
      <c r="B255" s="3" t="s">
        <v>29</v>
      </c>
      <c r="C255" s="15">
        <v>110493</v>
      </c>
      <c r="D255" s="15">
        <f t="shared" si="12"/>
        <v>15692</v>
      </c>
      <c r="E255" s="15">
        <v>44519</v>
      </c>
      <c r="F255" s="15">
        <f t="shared" si="13"/>
        <v>7373</v>
      </c>
      <c r="I255" s="15">
        <f t="shared" si="16"/>
        <v>8319</v>
      </c>
      <c r="J255">
        <f t="shared" si="14"/>
        <v>497127.6</v>
      </c>
    </row>
    <row r="256" spans="1:10" x14ac:dyDescent="0.25">
      <c r="A256" s="3" t="s">
        <v>356</v>
      </c>
      <c r="B256" s="3" t="s">
        <v>81</v>
      </c>
      <c r="C256" s="15">
        <v>110503</v>
      </c>
      <c r="D256" s="15">
        <f t="shared" si="12"/>
        <v>15702</v>
      </c>
      <c r="E256" s="15">
        <v>44547</v>
      </c>
      <c r="F256" s="15">
        <f t="shared" si="13"/>
        <v>7401</v>
      </c>
      <c r="I256" s="15">
        <f t="shared" si="16"/>
        <v>8301</v>
      </c>
      <c r="J256">
        <f t="shared" si="14"/>
        <v>495865.8</v>
      </c>
    </row>
    <row r="257" spans="1:10" x14ac:dyDescent="0.25">
      <c r="A257" s="3" t="s">
        <v>356</v>
      </c>
      <c r="B257" s="3" t="s">
        <v>99</v>
      </c>
      <c r="C257" s="15">
        <v>110508</v>
      </c>
      <c r="D257" s="15">
        <f t="shared" si="12"/>
        <v>15707</v>
      </c>
      <c r="E257" s="15">
        <v>44566</v>
      </c>
      <c r="F257" s="15">
        <f t="shared" si="13"/>
        <v>7420</v>
      </c>
      <c r="I257" s="15">
        <f t="shared" si="16"/>
        <v>8287</v>
      </c>
      <c r="J257">
        <f t="shared" si="14"/>
        <v>494884.39999999997</v>
      </c>
    </row>
    <row r="258" spans="1:10" x14ac:dyDescent="0.25">
      <c r="A258" s="3" t="s">
        <v>357</v>
      </c>
      <c r="B258" s="3" t="s">
        <v>38</v>
      </c>
      <c r="C258" s="15">
        <v>110533</v>
      </c>
      <c r="D258" s="15">
        <f t="shared" si="12"/>
        <v>15732</v>
      </c>
      <c r="E258" s="15">
        <v>44626</v>
      </c>
      <c r="F258" s="15">
        <f t="shared" si="13"/>
        <v>7480</v>
      </c>
      <c r="I258" s="15">
        <f t="shared" si="16"/>
        <v>8252</v>
      </c>
      <c r="J258">
        <f t="shared" si="14"/>
        <v>492430.89999999997</v>
      </c>
    </row>
    <row r="259" spans="1:10" x14ac:dyDescent="0.25">
      <c r="A259" s="3" t="s">
        <v>358</v>
      </c>
      <c r="B259" s="3" t="s">
        <v>359</v>
      </c>
      <c r="C259" s="15">
        <v>110555</v>
      </c>
      <c r="D259" s="15">
        <f t="shared" si="12"/>
        <v>15754</v>
      </c>
      <c r="E259" s="15">
        <v>44675</v>
      </c>
      <c r="F259" s="15">
        <f t="shared" si="13"/>
        <v>7529</v>
      </c>
      <c r="I259" s="15">
        <f t="shared" si="16"/>
        <v>8225</v>
      </c>
      <c r="J259">
        <f t="shared" si="14"/>
        <v>490538.19999999995</v>
      </c>
    </row>
    <row r="260" spans="1:10" x14ac:dyDescent="0.25">
      <c r="A260" s="3" t="s">
        <v>358</v>
      </c>
      <c r="B260" s="3" t="s">
        <v>76</v>
      </c>
      <c r="C260" s="15">
        <v>110556</v>
      </c>
      <c r="D260" s="15">
        <f t="shared" si="12"/>
        <v>15755</v>
      </c>
      <c r="E260" s="15">
        <v>44712</v>
      </c>
      <c r="F260" s="15">
        <f t="shared" si="13"/>
        <v>7566</v>
      </c>
      <c r="I260" s="15">
        <f t="shared" si="16"/>
        <v>8189</v>
      </c>
      <c r="J260">
        <f t="shared" si="14"/>
        <v>488014.6</v>
      </c>
    </row>
    <row r="261" spans="1:10" x14ac:dyDescent="0.25">
      <c r="A261" s="3" t="s">
        <v>360</v>
      </c>
      <c r="B261" s="3" t="s">
        <v>200</v>
      </c>
      <c r="C261" s="15">
        <v>110569</v>
      </c>
      <c r="D261" s="15">
        <f t="shared" si="12"/>
        <v>15768</v>
      </c>
      <c r="E261" s="15">
        <v>44726</v>
      </c>
      <c r="F261" s="15">
        <f t="shared" si="13"/>
        <v>7580</v>
      </c>
      <c r="I261" s="15">
        <f t="shared" si="16"/>
        <v>8188</v>
      </c>
      <c r="J261">
        <f t="shared" si="14"/>
        <v>487944.49999999994</v>
      </c>
    </row>
    <row r="262" spans="1:10" x14ac:dyDescent="0.25">
      <c r="A262" s="3" t="s">
        <v>361</v>
      </c>
      <c r="B262" s="3" t="s">
        <v>95</v>
      </c>
      <c r="C262" s="15">
        <v>110587</v>
      </c>
      <c r="D262" s="15">
        <f t="shared" si="12"/>
        <v>15786</v>
      </c>
      <c r="E262" s="15">
        <v>44760</v>
      </c>
      <c r="F262" s="15">
        <f t="shared" si="13"/>
        <v>7614</v>
      </c>
      <c r="I262" s="15">
        <f t="shared" si="16"/>
        <v>8172</v>
      </c>
      <c r="J262">
        <f t="shared" si="14"/>
        <v>486822.89999999997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Benkő Tamás</dc:creator>
  <cp:lastModifiedBy>Tamás Benkő</cp:lastModifiedBy>
  <dcterms:created xsi:type="dcterms:W3CDTF">2022-09-26T08:51:10Z</dcterms:created>
  <dcterms:modified xsi:type="dcterms:W3CDTF">2026-07-31T06:52:01Z</dcterms:modified>
</cp:coreProperties>
</file>